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b28e6e048e54dd8" /></Relationships>
</file>

<file path=xl/workbook.xml><?xml version="1.0" encoding="utf-8"?>
<x:workbook xmlns:x="http://schemas.openxmlformats.org/spreadsheetml/2006/main">
  <x:sheets>
    <x:sheet xmlns:r="http://schemas.openxmlformats.org/officeDocument/2006/relationships" name="README" sheetId="1" r:id="R47442cc6377442c2"/>
    <x:sheet xmlns:r="http://schemas.openxmlformats.org/officeDocument/2006/relationships" name="Dashboard" sheetId="2" r:id="Rc9ce33a1ed344161"/>
    <x:sheet xmlns:r="http://schemas.openxmlformats.org/officeDocument/2006/relationships" name="Cluster_Codes" sheetId="3" r:id="R16ead5614ca6424a"/>
    <x:sheet xmlns:r="http://schemas.openxmlformats.org/officeDocument/2006/relationships" name="Prompt_Bank" sheetId="4" r:id="R92f48dce00fb4b99"/>
    <x:sheet xmlns:r="http://schemas.openxmlformats.org/officeDocument/2006/relationships" name="Registry" sheetId="5" r:id="R7ff7db7f8e594605"/>
    <x:sheet xmlns:r="http://schemas.openxmlformats.org/officeDocument/2006/relationships" name="Checkpoint_Log" sheetId="6" r:id="R87bc698f81da4ed6"/>
    <x:sheet xmlns:r="http://schemas.openxmlformats.org/officeDocument/2006/relationships" name="Workflow" sheetId="7" r:id="R6754680ea7c8457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
      <x:name val="Carlito"/>
    </x:font>
    <x:font>
      <x:b/>
      <x:sz val="14"/>
      <x:color rgb="FFFFFF"/>
      <x:name val="Carlito"/>
    </x:font>
    <x:font>
      <x:b/>
      <x:sz val="11"/>
      <x:color rgb="000000"/>
      <x:name val="Carlito"/>
    </x:font>
  </x:fonts>
  <x:fills count="5">
    <x:fill>
      <x:patternFill patternType="none"/>
    </x:fill>
    <x:fill>
      <x:patternFill patternType="gray125"/>
    </x:fill>
    <x:fill>
      <x:patternFill patternType="solid">
        <x:fgColor rgb="1F4E79"/>
      </x:patternFill>
    </x:fill>
    <x:fill>
      <x:patternFill patternType="solid">
        <x:fgColor rgb="0F766E"/>
      </x:patternFill>
    </x:fill>
    <x:fill>
      <x:patternFill patternType="solid">
        <x:fgColor rgb="D9EAF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2" fillId="3" borderId="0" xfId="0" applyNumberFormat="1" applyFont="1" applyFill="1" applyBorder="1" applyAlignment="1">
      <x:alignment horizontal="left" vertical="center" wrapText="1"/>
    </x:xf>
    <x:xf numFmtId="0" fontId="3" fillId="4"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left" vertical="center" wrapText="1"/>
    </x:xf>
    <x:xf numFmtId="0" fontId="3" fillId="4" borderId="1" xfId="0" applyNumberFormat="1" applyFont="1" applyFill="1" applyBorder="1" applyAlignment="1">
      <x:alignment horizontal="center" vertical="center" wrapText="1"/>
    </x:xf>
  </x:cellXfs>
  <x:cellStyles count="1">
    <x:cellStyle name="Normal" xfId="0"/>
  </x:cellStyles>
  <x:dxfs count="6">
    <x:dxf>
      <x:font>
        <x:b/>
      </x:font>
      <x:fill>
        <x:patternFill>
          <x:bgColor rgb="FCA5A5"/>
        </x:patternFill>
      </x:fill>
    </x:dxf>
    <x:dxf>
      <x:font>
        <x:b/>
      </x:font>
      <x:fill>
        <x:patternFill>
          <x:bgColor rgb="FEF3C7"/>
        </x:patternFill>
      </x:fill>
    </x:dxf>
    <x:dxf>
      <x:font>
        <x:b/>
      </x:font>
      <x:fill>
        <x:patternFill>
          <x:bgColor rgb="DCFCE7"/>
        </x:patternFill>
      </x:fill>
    </x:dxf>
    <x:dxf>
      <x:fill>
        <x:patternFill>
          <x:bgColor rgb="DCFCE7"/>
        </x:patternFill>
      </x:fill>
    </x:dxf>
    <x:dxf>
      <x:fill>
        <x:patternFill>
          <x:bgColor rgb="FCA5A5"/>
        </x:patternFill>
      </x:fill>
    </x:dxf>
    <x:dxf>
      <x:font>
        <x:b/>
      </x:font>
      <x:fill>
        <x:patternFill>
          <x:bgColor rgb="DBEA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11d5a28b4f47aa" /><Relationship Type="http://schemas.openxmlformats.org/officeDocument/2006/relationships/theme" Target="/xl/theme/theme1.xml" Id="Rab872ec68a40478f" /><Relationship Type="http://schemas.openxmlformats.org/officeDocument/2006/relationships/sharedStrings" Target="/xl/sharedStrings.xml" Id="R3e39f69b2d834126" /><Relationship Type="http://schemas.openxmlformats.org/officeDocument/2006/relationships/worksheet" Target="/xl/worksheets/sheet1.xml" Id="R47442cc6377442c2" /><Relationship Type="http://schemas.openxmlformats.org/officeDocument/2006/relationships/worksheet" Target="/xl/worksheets/sheet2.xml" Id="Rc9ce33a1ed344161" /><Relationship Type="http://schemas.openxmlformats.org/officeDocument/2006/relationships/worksheet" Target="/xl/worksheets/sheet3.xml" Id="R16ead5614ca6424a" /><Relationship Type="http://schemas.openxmlformats.org/officeDocument/2006/relationships/worksheet" Target="/xl/worksheets/sheet4.xml" Id="R92f48dce00fb4b99" /><Relationship Type="http://schemas.openxmlformats.org/officeDocument/2006/relationships/worksheet" Target="/xl/worksheets/sheet5.xml" Id="R7ff7db7f8e594605" /><Relationship Type="http://schemas.openxmlformats.org/officeDocument/2006/relationships/worksheet" Target="/xl/worksheets/sheet6.xml" Id="R87bc698f81da4ed6" /><Relationship Type="http://schemas.openxmlformats.org/officeDocument/2006/relationships/worksheet" Target="/xl/worksheets/sheet7.xml" Id="R6754680ea7c84572" /></Relationships>
</file>

<file path=xl/tables/table1.xml><?xml version="1.0" encoding="utf-8"?>
<x:table xmlns:x="http://schemas.openxmlformats.org/spreadsheetml/2006/main" id="2" name="ClusterCodesTable" displayName="ClusterCodesTable" ref="A1:E9" headerRowCount="1">
  <x:tableColumns count="5">
    <x:tableColumn id="1" name="cluster_code"/>
    <x:tableColumn id="2" name="label"/>
    <x:tableColumn id="3" name="NotebookLM_notebook"/>
    <x:tableColumn id="4" name="definition"/>
    <x:tableColumn id="5" name="cluster_specific_questions"/>
  </x:tableColumns>
  <x:tableStyleInfo name="TableStyleMedium2" showRowStripes="1"/>
</x:table>
</file>

<file path=xl/tables/table2.xml><?xml version="1.0" encoding="utf-8"?>
<x:table xmlns:x="http://schemas.openxmlformats.org/spreadsheetml/2006/main" id="3" name="PromptBankTable" displayName="PromptBankTable" ref="A1:D11" headerRowCount="1">
  <x:tableColumns count="4">
    <x:tableColumn id="1" name="prompt_id"/>
    <x:tableColumn id="2" name="prompt_name"/>
    <x:tableColumn id="3" name="when_to_use"/>
    <x:tableColumn id="4" name="prompt_text"/>
  </x:tableColumns>
  <x:tableStyleInfo name="TableStyleMedium2" showRowStripes="1"/>
</x:table>
</file>

<file path=xl/tables/table3.xml><?xml version="1.0" encoding="utf-8"?>
<x:table xmlns:x="http://schemas.openxmlformats.org/spreadsheetml/2006/main" id="1" name="RegistryTable" displayName="RegistryTable" ref="A1:X73" headerRowCount="1">
  <x:tableColumns count="24">
    <x:tableColumn id="1" name="source_id"/>
    <x:tableColumn id="2" name="filename"/>
    <x:tableColumn id="3" name="relative_path"/>
    <x:tableColumn id="4" name="folder"/>
    <x:tableColumn id="5" name="author_key"/>
    <x:tableColumn id="6" name="year_guess"/>
    <x:tableColumn id="7" name="size_mb"/>
    <x:tableColumn id="8" name="modified_local"/>
    <x:tableColumn id="9" name="primary_cluster"/>
    <x:tableColumn id="10" name="secondary_cluster"/>
    <x:tableColumn id="11" name="tertiary_cluster"/>
    <x:tableColumn id="12" name="priority"/>
    <x:tableColumn id="13" name="checkpoint_flag"/>
    <x:tableColumn id="14" name="RA_status"/>
    <x:tableColumn id="15" name="NotebookLM_notebook"/>
    <x:tableColumn id="16" name="prompt_ids_to_run"/>
    <x:tableColumn id="17" name="paper_specific_questions"/>
    <x:tableColumn id="18" name="output_obsidian_note"/>
    <x:tableColumn id="19" name="classification_basis"/>
    <x:tableColumn id="20" name="Diego_decision_needed"/>
    <x:tableColumn id="21" name="NotebookLM_loaded"/>
    <x:tableColumn id="22" name="source_note_done"/>
    <x:tableColumn id="23" name="cluster_memo_ready"/>
    <x:tableColumn id="24" name="review_notes"/>
  </x:tableColumns>
  <x:tableStyleInfo name="TableStyleMedium2" showRowStripes="1"/>
</x:table>
</file>

<file path=xl/tables/table4.xml><?xml version="1.0" encoding="utf-8"?>
<x:table xmlns:x="http://schemas.openxmlformats.org/spreadsheetml/2006/main" id="4" name="CheckpointLogTable" displayName="CheckpointLogTable" ref="A1:K21" headerRowCount="1">
  <x:tableColumns count="11">
    <x:tableColumn id="1" name="block_id"/>
    <x:tableColumn id="2" name="date"/>
    <x:tableColumn id="3" name="start_time"/>
    <x:tableColumn id="4" name="end_time"/>
    <x:tableColumn id="5" name="RA_name"/>
    <x:tableColumn id="6" name="PDFs_processed"/>
    <x:tableColumn id="7" name="notes_created"/>
    <x:tableColumn id="8" name="yellow_cases"/>
    <x:tableColumn id="9" name="red_cases"/>
    <x:tableColumn id="10" name="Diego_decision"/>
    <x:tableColumn id="11" name="next_block_plan"/>
  </x:tableColumns>
  <x:tableStyleInfo name="TableStyleMedium2" showRowStripes="1"/>
</x:table>
</file>

<file path=xl/tables/table5.xml><?xml version="1.0" encoding="utf-8"?>
<x:table xmlns:x="http://schemas.openxmlformats.org/spreadsheetml/2006/main" id="5" name="WorkflowTable" displayName="WorkflowTable" ref="A1:E8" headerRowCount="1">
  <x:tableColumns count="5">
    <x:tableColumn id="1" name="Step"/>
    <x:tableColumn id="2" name="Action"/>
    <x:tableColumn id="3" name="Tool"/>
    <x:tableColumn id="4" name="Output"/>
    <x:tableColumn id="5" name="Stop / Escalation Ru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db8d955359254b82" /></Relationships>
</file>

<file path=xl/worksheets/_rels/sheet4.xml.rels>&#65279;<?xml version="1.0" encoding="utf-8"?><Relationships xmlns="http://schemas.openxmlformats.org/package/2006/relationships"><Relationship Type="http://schemas.openxmlformats.org/officeDocument/2006/relationships/table" Target="/xl/tables/table2.xml" Id="Rf10b57c594f9456f" /></Relationships>
</file>

<file path=xl/worksheets/_rels/sheet5.xml.rels>&#65279;<?xml version="1.0" encoding="utf-8"?><Relationships xmlns="http://schemas.openxmlformats.org/package/2006/relationships"><Relationship Type="http://schemas.openxmlformats.org/officeDocument/2006/relationships/table" Target="/xl/tables/table3.xml" Id="R9f2c7c64b7c84a43" /></Relationships>
</file>

<file path=xl/worksheets/_rels/sheet6.xml.rels>&#65279;<?xml version="1.0" encoding="utf-8"?><Relationships xmlns="http://schemas.openxmlformats.org/package/2006/relationships"><Relationship Type="http://schemas.openxmlformats.org/officeDocument/2006/relationships/table" Target="/xl/tables/table4.xml" Id="Rc887c01aaf954114" /></Relationships>
</file>

<file path=xl/worksheets/_rels/sheet7.xml.rels>&#65279;<?xml version="1.0" encoding="utf-8"?><Relationships xmlns="http://schemas.openxmlformats.org/package/2006/relationships"><Relationship Type="http://schemas.openxmlformats.org/officeDocument/2006/relationships/table" Target="/xl/tables/table5.xml" Id="R1184eb2ba9084759" /></Relationships>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ht="28" customHeight="1">
      <x:c r="A1" s="30" t="str">
        <x:v>RA NotebookLM + Obsidian Registry</x:v>
      </x:c>
      <x:c r="B1" s="30" t="str"/>
    </x:row>
    <x:row r="2">
      <x:c r="A2" s="31" t="str">
        <x:v>Purpose</x:v>
      </x:c>
      <x:c r="B2" s="11" t="str">
        <x:v>Execution board for processing the PDF literature corpus into one Obsidian source note per PDF.</x:v>
      </x:c>
    </x:row>
    <x:row r="3">
      <x:c r="A3" s="31" t="str">
        <x:v>Operating principle</x:v>
      </x:c>
      <x:c r="B3" s="11" t="str">
        <x:v>NotebookLM asks the PDFs; ChatGPT normalizes outputs; Obsidian is the source of record.</x:v>
      </x:c>
    </x:row>
    <x:row r="4">
      <x:c r="A4" s="31" t="str">
        <x:v>Supervision cadence</x:v>
      </x:c>
      <x:c r="B4" s="11" t="str">
        <x:v>RA works in 30-minute blocks and ends each block with P09 checkpoint packet.</x:v>
      </x:c>
    </x:row>
    <x:row r="5">
      <x:c r="A5" s="31" t="str">
        <x:v>Core rule</x:v>
      </x:c>
      <x:c r="B5" s="11" t="str">
        <x:v>Do not invent bibliographic details, methods, countries, findings, or relevance. Mark uncertainty as YELLOW/RED.</x:v>
      </x:c>
    </x:row>
    <x:row r="6">
      <x:c r="A6" s="31" t="str">
        <x:v>Starting workflow</x:v>
      </x:c>
      <x:c r="B6" s="11" t="str">
        <x:v>Open Registry sheet. Filter RA_status = Not Started. Process High priority GREEN rows first, then High YELLOW rows with checkpoint.</x:v>
      </x:c>
    </x:row>
    <x:row r="7">
      <x:c r="A7" s="31" t="str">
        <x:v>One-source output</x:v>
      </x:c>
      <x:c r="B7" s="11" t="str">
        <x:v>Every substantive PDF gets exactly one source note in Obsidian using output_obsidian_note.</x:v>
      </x:c>
    </x:row>
    <x:row r="8">
      <x:c r="A8" s="31" t="str">
        <x:v>Last updated</x:v>
      </x:c>
      <x:c r="B8" s="11" t="str">
        <x:v>2026-05-06 15:29</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6" hidden="0" customWidth="1"/>
    <x:col min="4" max="4" width="34" hidden="0" customWidth="1"/>
    <x:col min="5" max="5" width="16" hidden="0" customWidth="1"/>
    <x:col min="6" max="6" width="16" hidden="0" customWidth="1"/>
    <x:col min="7" max="7" width="16" hidden="0" customWidth="1"/>
  </x:cols>
  <x:sheetData>
    <x:row r="1">
      <x:c r="A1" s="17" t="str">
        <x:v>RA Processing Dashboard</x:v>
      </x:c>
      <x:c r="B1" s="17"/>
      <x:c r="C1" s="17"/>
      <x:c r="D1" s="17"/>
      <x:c r="E1" s="17"/>
      <x:c r="F1" s="17"/>
      <x:c r="G1" s="17"/>
    </x:row>
    <x:row r="3">
      <x:c r="A3" s="5" t="str">
        <x:v>Metric</x:v>
      </x:c>
      <x:c r="B3" s="5" t="str">
        <x:v>Value</x:v>
      </x:c>
      <x:c r="D3" s="5" t="str">
        <x:v>Cluster</x:v>
      </x:c>
      <x:c r="E3" s="5" t="str">
        <x:v>Primary Count</x:v>
      </x:c>
      <x:c r="F3" s="5" t="str">
        <x:v>Secondary Count</x:v>
      </x:c>
      <x:c r="G3" s="5" t="str">
        <x:v>Total Mentions</x:v>
      </x:c>
    </x:row>
    <x:row r="4">
      <x:c r="A4" t="str">
        <x:v>Total PDFs</x:v>
      </x:c>
      <x:c r="B4" t="n">
        <x:f>COUNTA(Registry!$A$2:$A$200)</x:f>
        <x:v>72</x:v>
      </x:c>
      <x:c r="D4" t="str">
        <x:v>G1_PAID_ADS_OBJECT</x:v>
      </x:c>
      <x:c r="E4" t="n">
        <x:f>COUNTIF(Registry!$I$2:$I$200,D4)</x:f>
        <x:v>5</x:v>
      </x:c>
      <x:c r="F4" t="n">
        <x:f>COUNTIF(Registry!$J$2:$K$200,D4)</x:f>
        <x:v>3</x:v>
      </x:c>
      <x:c r="G4" t="n">
        <x:f>E4+F4</x:f>
        <x:v>8</x:v>
      </x:c>
    </x:row>
    <x:row r="5">
      <x:c r="A5" t="str">
        <x:v>Not Started</x:v>
      </x:c>
      <x:c r="B5" t="n">
        <x:f>COUNTIF(Registry!$N$2:$N$200,"Not Started")</x:f>
        <x:v>72</x:v>
      </x:c>
      <x:c r="D5" t="str">
        <x:v>G2_TOPIC_MODELING_METHOD</x:v>
      </x:c>
      <x:c r="E5" t="n">
        <x:f>COUNTIF(Registry!$I$2:$I$200,D5)</x:f>
        <x:v>9</x:v>
      </x:c>
      <x:c r="F5" t="n">
        <x:f>COUNTIF(Registry!$J$2:$K$200,D5)</x:f>
        <x:v>6</x:v>
      </x:c>
      <x:c r="G5" t="n">
        <x:f>E5+F5</x:f>
        <x:v>15</x:v>
      </x:c>
    </x:row>
    <x:row r="6">
      <x:c r="A6" t="str">
        <x:v>Saved in Obsidian</x:v>
      </x:c>
      <x:c r="B6" t="n">
        <x:f>COUNTIF(Registry!$N$2:$N$200,"Saved in Obsidian")</x:f>
        <x:v>0</x:v>
      </x:c>
      <x:c r="D6" t="str">
        <x:v>G3_PLATFORMIZATION_DIGITAL_POLITICS</x:v>
      </x:c>
      <x:c r="E6" t="n">
        <x:f>COUNTIF(Registry!$I$2:$I$200,D6)</x:f>
        <x:v>13</x:v>
      </x:c>
      <x:c r="F6" t="n">
        <x:f>COUNTIF(Registry!$J$2:$K$200,D6)</x:f>
        <x:v>35</x:v>
      </x:c>
      <x:c r="G6" t="n">
        <x:f>E6+F6</x:f>
        <x:v>48</x:v>
      </x:c>
    </x:row>
    <x:row r="7">
      <x:c r="A7" t="str">
        <x:v>Needs Rework</x:v>
      </x:c>
      <x:c r="B7" t="n">
        <x:f>COUNTIF(Registry!$N$2:$N$200,"Needs Rework")</x:f>
        <x:v>0</x:v>
      </x:c>
      <x:c r="D7" t="str">
        <x:v>G4_CHILE_LATAM_CASE_CONTEXT</x:v>
      </x:c>
      <x:c r="E7" t="n">
        <x:f>COUNTIF(Registry!$I$2:$I$200,D7)</x:f>
        <x:v>17</x:v>
      </x:c>
      <x:c r="F7" t="n">
        <x:f>COUNTIF(Registry!$J$2:$K$200,D7)</x:f>
        <x:v>0</x:v>
      </x:c>
      <x:c r="G7" t="n">
        <x:f>E7+F7</x:f>
        <x:v>17</x:v>
      </x:c>
    </x:row>
    <x:row r="8">
      <x:c r="A8" t="str">
        <x:v>YELLOW / review rows</x:v>
      </x:c>
      <x:c r="B8" t="n">
        <x:f>COUNTIF(Registry!$M$2:$M$200,"YELLOW")</x:f>
        <x:v>36</x:v>
      </x:c>
      <x:c r="D8" t="str">
        <x:v>G5_ETHICS_MANIPULATION_RISK</x:v>
      </x:c>
      <x:c r="E8" t="n">
        <x:f>COUNTIF(Registry!$I$2:$I$200,D8)</x:f>
        <x:v>3</x:v>
      </x:c>
      <x:c r="F8" t="n">
        <x:f>COUNTIF(Registry!$J$2:$K$200,D8)</x:f>
        <x:v>20</x:v>
      </x:c>
      <x:c r="G8" t="n">
        <x:f>E8+F8</x:f>
        <x:v>23</x:v>
      </x:c>
    </x:row>
    <x:row r="9">
      <x:c r="A9" t="str">
        <x:v>RED rows</x:v>
      </x:c>
      <x:c r="B9" t="n">
        <x:f>COUNTIF(Registry!$M$2:$M$200,"RED")</x:f>
        <x:v>0</x:v>
      </x:c>
      <x:c r="D9" t="str">
        <x:v>G6_DIGITAL_CAPITALISM_PLATFORM_POWER</x:v>
      </x:c>
      <x:c r="E9" t="n">
        <x:f>COUNTIF(Registry!$I$2:$I$200,D9)</x:f>
        <x:v>19</x:v>
      </x:c>
      <x:c r="F9" t="n">
        <x:f>COUNTIF(Registry!$J$2:$K$200,D9)</x:f>
        <x:v>0</x:v>
      </x:c>
      <x:c r="G9" t="n">
        <x:f>E9+F9</x:f>
        <x:v>19</x:v>
      </x:c>
    </x:row>
    <x:row r="10">
      <x:c r="D10" t="str">
        <x:v>G7_VENUE_POSITIONING_PRECEDENT</x:v>
      </x:c>
      <x:c r="E10" t="n">
        <x:f>COUNTIF(Registry!$I$2:$I$200,D10)</x:f>
        <x:v>0</x:v>
      </x:c>
      <x:c r="F10" t="n">
        <x:f>COUNTIF(Registry!$J$2:$K$200,D10)</x:f>
        <x:v>24</x:v>
      </x:c>
      <x:c r="G10" t="n">
        <x:f>E10+F10</x:f>
        <x:v>24</x:v>
      </x:c>
    </x:row>
    <x:row r="11">
      <x:c r="D11" t="str">
        <x:v>AUX_METADATA_OR_FRONTMATTER</x:v>
      </x:c>
      <x:c r="E11" t="n">
        <x:f>COUNTIF(Registry!$I$2:$I$200,D11)</x:f>
        <x:v>6</x:v>
      </x:c>
      <x:c r="F11" t="n">
        <x:f>COUNTIF(Registry!$J$2:$K$200,D11)</x:f>
        <x:v>0</x:v>
      </x:c>
      <x:c r="G11" t="n">
        <x:f>E11+F11</x:f>
        <x:v>6</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32" hidden="0" customWidth="1"/>
    <x:col min="3" max="3" width="30" hidden="0" customWidth="1"/>
    <x:col min="4" max="4" width="70" hidden="0" customWidth="1"/>
    <x:col min="5" max="5" width="70" hidden="0" customWidth="1"/>
  </x:cols>
  <x:sheetData>
    <x:row r="1">
      <x:c r="A1" s="10" t="str">
        <x:v>cluster_code</x:v>
      </x:c>
      <x:c r="B1" s="10" t="str">
        <x:v>label</x:v>
      </x:c>
      <x:c r="C1" s="10" t="str">
        <x:v>NotebookLM_notebook</x:v>
      </x:c>
      <x:c r="D1" s="10" t="str">
        <x:v>definition</x:v>
      </x:c>
      <x:c r="E1" s="10" t="str">
        <x:v>cluster_specific_questions</x:v>
      </x:c>
    </x:row>
    <x:row r="2">
      <x:c r="A2" s="11" t="str">
        <x:v>G1_PAID_ADS_OBJECT</x:v>
      </x:c>
      <x:c r="B2" s="11" t="str">
        <x:v>Paid digital political advertising as object</x:v>
      </x:c>
      <x:c r="C2" s="11" t="str">
        <x:v>NB01_Paid_Digital_Ads</x:v>
      </x:c>
      <x:c r="D2" s="11" t="str">
        <x:v>Use when the source studies paid political ads, ad libraries, targeting infrastructure, platform advertising, campaign advertising effects, or paid-vs-organic distinction.</x:v>
      </x:c>
      <x:c r="E2" s="11" t="str">
        <x:v>Does the source study paid ads or organic posts? What platform? What targeting mechanism? What does it say about ad visibility, disclosure, persuasion, segmentation, or audience control?</x:v>
      </x:c>
    </x:row>
    <x:row r="3">
      <x:c r="A3" s="11" t="str">
        <x:v>G2_TOPIC_MODELING_METHOD</x:v>
      </x:c>
      <x:c r="B3" s="11" t="str">
        <x:v>LDA / STM / text-as-data method</x:v>
      </x:c>
      <x:c r="C3" s="11" t="str">
        <x:v>NB02_Topic_Modeling_Methods</x:v>
      </x:c>
      <x:c r="D3" s="11" t="str">
        <x:v>Use when the source uses or evaluates LDA, STM, topic models, embeddings, supervised classification, text-as-data, validation, or multilingual/Spanish NLP.</x:v>
      </x:c>
      <x:c r="E3" s="11" t="str">
        <x:v>What method is used? What corpus? What validation strategy? Topic number K if any? What preprocessing choices? Does it discuss short texts, Spanish, interpretability, or alternatives to LDA?</x:v>
      </x:c>
    </x:row>
    <x:row r="4">
      <x:c r="A4" s="11" t="str">
        <x:v>G3_PLATFORMIZATION_DIGITAL_POLITICS</x:v>
      </x:c>
      <x:c r="B4" s="11" t="str">
        <x:v>Digitalization / platformization of politics</x:v>
      </x:c>
      <x:c r="C4" s="11" t="str">
        <x:v>NB03_Platformization_Digital_Politics</x:v>
      </x:c>
      <x:c r="D4" s="11" t="str">
        <x:v>Use when the source theorizes digital politics, platform affordances, datafication, comparative digital campaigning, polarization, populism, or campaign transformation.</x:v>
      </x:c>
      <x:c r="E4" s="11" t="str">
        <x:v>How does the source define digitalization/platformization? What mechanisms are named? Does it treat platforms as passive channels or active infrastructures? Is the pattern global, local, or comparative?</x:v>
      </x:c>
    </x:row>
    <x:row r="5">
      <x:c r="A5" s="11" t="str">
        <x:v>G4_CHILE_LATAM_CASE_CONTEXT</x:v>
      </x:c>
      <x:c r="B5" s="11" t="str">
        <x:v>Chile / Latin America case context</x:v>
      </x:c>
      <x:c r="C5" s="11" t="str">
        <x:v>NB04_Chile_LatAm_Context</x:v>
      </x:c>
      <x:c r="D5" s="11" t="str">
        <x:v>Use when the source studies Chile, Latin America, regional digital campaigning, party systems, elections, constitutional process, polarization, media, or comparative LatAm cases.</x:v>
      </x:c>
      <x:c r="E5" s="11" t="str">
        <x:v>Which country/election is studied? What makes the context distinctive? Does it discuss Chile 2021, post-2019 politics, party fragmentation, LatAm platforms, or regional campaign practices?</x:v>
      </x:c>
    </x:row>
    <x:row r="6">
      <x:c r="A6" s="11" t="str">
        <x:v>G5_ETHICS_MANIPULATION_RISK</x:v>
      </x:c>
      <x:c r="B6" s="11" t="str">
        <x:v>Ethics, manipulation, personalization, democratic risk</x:v>
      </x:c>
      <x:c r="C6" s="11" t="str">
        <x:v>NB05_Ethics_Manipulation_Risk</x:v>
      </x:c>
      <x:c r="D6" s="11" t="str">
        <x:v>Use when the source addresses microtargeting risks, manipulation, democratic harm, misinformation, deepfakes, polarization, personalization, affective politics, privacy, or regulation.</x:v>
      </x:c>
      <x:c r="E6" s="11" t="str">
        <x:v>What democratic risk is identified? Is the concern manipulation, privacy, polarization, misinformation, opacity, unequal exposure, or persuasion? Does the source distinguish fear from evidence?</x:v>
      </x:c>
    </x:row>
    <x:row r="7">
      <x:c r="A7" s="11" t="str">
        <x:v>G6_DIGITAL_CAPITALISM_PLATFORM_POWER</x:v>
      </x:c>
      <x:c r="B7" s="11" t="str">
        <x:v>Digital capitalism / platform power</x:v>
      </x:c>
      <x:c r="C7" s="11" t="str">
        <x:v>NB06_Digital_Capitalism_Platform_Power</x:v>
      </x:c>
      <x:c r="D7" s="11" t="str">
        <x:v>Use when the source theorizes platform capitalism, digital governance, data commodification, Marxian critiques, labor/control, posthumanism, cybernetics, or political infrastructure.</x:v>
      </x:c>
      <x:c r="E7" s="11" t="str">
        <x:v>What theory of digital capitalism/platform power is offered? Does it explain data extraction, commodification, governance, visibility, control, or political subject formation? How could this deepen the conceptual framework?</x:v>
      </x:c>
    </x:row>
    <x:row r="8">
      <x:c r="A8" s="11" t="str">
        <x:v>G7_VENUE_POSITIONING_PRECEDENT</x:v>
      </x:c>
      <x:c r="B8" s="11" t="str">
        <x:v>Venue positioning / closest precedent</x:v>
      </x:c>
      <x:c r="C8" s="11" t="str">
        <x:v>NB07_Venue_Positioning_Precedents</x:v>
      </x:c>
      <x:c r="D8" s="11" t="str">
        <x:v>Use when the source is a close journal precedent, competitor, methodological comparator, or venue-signal paper for IJPP, Political Communication, JITP, IJoC, LAPS, etc.</x:v>
      </x:c>
      <x:c r="E8" s="11" t="str">
        <x:v>What journal published this? Why is it a precedent? Which side of the paper’s niche does it cover: method, object, region, or theory? Is it a competitor, complement, or legitimating precedent?</x:v>
      </x:c>
    </x:row>
    <x:row r="9">
      <x:c r="A9" s="11" t="str">
        <x:v>AUX_METADATA_OR_FRONTMATTER</x:v>
      </x:c>
      <x:c r="B9" s="11" t="str">
        <x:v>Metadata / book front matter / non-substantive</x:v>
      </x:c>
      <x:c r="C9" s="11" t="str">
        <x:v>NB00_Metadata_Only</x:v>
      </x:c>
      <x:c r="D9" s="11" t="str">
        <x:v>Use for metadata PDFs, tables of contents, index, front/back matter, contributor lists, or source files that should not receive full conceptual extraction unless Diego asks.</x:v>
      </x:c>
      <x:c r="E9" s="11" t="str">
        <x:v>Do not run full extraction. Record bibliographic utility only: title, editors, book/journal container, chapter list, page range if available.</x:v>
      </x:c>
    </x:row>
    <x:row r="10">
      <x:c r="A10" s="11"/>
      <x:c r="B10" s="11"/>
      <x:c r="C10" s="11"/>
      <x:c r="D10" s="11"/>
      <x:c r="E10" s="11"/>
    </x:row>
    <x:row r="11">
      <x:c r="A11" s="11"/>
      <x:c r="B11" s="11"/>
      <x:c r="C11" s="11"/>
      <x:c r="D11" s="11"/>
      <x:c r="E11" s="11"/>
    </x:row>
    <x:row r="12">
      <x:c r="A12" s="11"/>
      <x:c r="B12" s="11"/>
      <x:c r="C12" s="11"/>
      <x:c r="D12" s="11"/>
      <x:c r="E12" s="11"/>
    </x:row>
    <x:row r="13">
      <x:c r="A13" s="11"/>
      <x:c r="B13" s="11"/>
      <x:c r="C13" s="11"/>
      <x:c r="D13" s="11"/>
      <x:c r="E13" s="11"/>
    </x:row>
    <x:row r="14">
      <x:c r="A14" s="11"/>
      <x:c r="B14" s="11"/>
      <x:c r="C14" s="11"/>
      <x:c r="D14" s="11"/>
      <x:c r="E14" s="11"/>
    </x:row>
    <x:row r="15">
      <x:c r="A15" s="11"/>
      <x:c r="B15" s="11"/>
      <x:c r="C15" s="11"/>
      <x:c r="D15" s="11"/>
      <x:c r="E15" s="11"/>
    </x:row>
    <x:row r="16">
      <x:c r="A16" s="11"/>
      <x:c r="B16" s="11"/>
      <x:c r="C16" s="11"/>
      <x:c r="D16" s="11"/>
      <x:c r="E16" s="11"/>
    </x:row>
    <x:row r="17">
      <x:c r="A17" s="11"/>
      <x:c r="B17" s="11"/>
      <x:c r="C17" s="11"/>
      <x:c r="D17" s="11"/>
      <x:c r="E17" s="11"/>
    </x:row>
    <x:row r="18">
      <x:c r="A18" s="11"/>
      <x:c r="B18" s="11"/>
      <x:c r="C18" s="11"/>
      <x:c r="D18" s="11"/>
      <x:c r="E18" s="11"/>
    </x:row>
    <x:row r="19">
      <x:c r="A19" s="11"/>
      <x:c r="B19" s="11"/>
      <x:c r="C19" s="11"/>
      <x:c r="D19" s="11"/>
      <x:c r="E19" s="11"/>
    </x:row>
    <x:row r="20">
      <x:c r="A20" s="11"/>
      <x:c r="B20" s="11"/>
      <x:c r="C20" s="11"/>
      <x:c r="D20" s="11"/>
      <x:c r="E20" s="11"/>
    </x:row>
    <x:row r="21">
      <x:c r="A21" s="11"/>
      <x:c r="B21" s="11"/>
      <x:c r="C21" s="11"/>
      <x:c r="D21" s="11"/>
      <x:c r="E21" s="11"/>
    </x:row>
    <x:row r="22">
      <x:c r="A22" s="11"/>
      <x:c r="B22" s="11"/>
      <x:c r="C22" s="11"/>
      <x:c r="D22" s="11"/>
      <x:c r="E22" s="11"/>
    </x:row>
    <x:row r="23">
      <x:c r="A23" s="11"/>
      <x:c r="B23" s="11"/>
      <x:c r="C23" s="11"/>
      <x:c r="D23" s="11"/>
      <x:c r="E23" s="11"/>
    </x:row>
    <x:row r="24">
      <x:c r="A24" s="11"/>
      <x:c r="B24" s="11"/>
      <x:c r="C24" s="11"/>
      <x:c r="D24" s="11"/>
      <x:c r="E24" s="11"/>
    </x:row>
    <x:row r="25">
      <x:c r="A25" s="11"/>
      <x:c r="B25" s="11"/>
      <x:c r="C25" s="11"/>
      <x:c r="D25" s="11"/>
      <x:c r="E25" s="11"/>
    </x:row>
    <x:row r="26">
      <x:c r="A26" s="11"/>
      <x:c r="B26" s="11"/>
      <x:c r="C26" s="11"/>
      <x:c r="D26" s="11"/>
      <x:c r="E26" s="11"/>
    </x:row>
    <x:row r="27">
      <x:c r="A27" s="11"/>
      <x:c r="B27" s="11"/>
      <x:c r="C27" s="11"/>
      <x:c r="D27" s="11"/>
      <x:c r="E27" s="11"/>
    </x:row>
    <x:row r="28">
      <x:c r="A28" s="11"/>
      <x:c r="B28" s="11"/>
      <x:c r="C28" s="11"/>
      <x:c r="D28" s="11"/>
      <x:c r="E28" s="11"/>
    </x:row>
    <x:row r="29">
      <x:c r="A29" s="11"/>
      <x:c r="B29" s="11"/>
      <x:c r="C29" s="11"/>
      <x:c r="D29" s="11"/>
      <x:c r="E29" s="11"/>
    </x:row>
    <x:row r="30">
      <x:c r="A30" s="11"/>
      <x:c r="B30" s="11"/>
      <x:c r="C30" s="11"/>
      <x:c r="D30" s="11"/>
      <x:c r="E30" s="11"/>
    </x:row>
    <x:row r="31">
      <x:c r="A31" s="11"/>
      <x:c r="B31" s="11"/>
      <x:c r="C31" s="11"/>
      <x:c r="D31" s="11"/>
      <x:c r="E31" s="11"/>
    </x:row>
    <x:row r="32">
      <x:c r="A32" s="11"/>
      <x:c r="B32" s="11"/>
      <x:c r="C32" s="11"/>
      <x:c r="D32" s="11"/>
      <x:c r="E32" s="11"/>
    </x:row>
    <x:row r="33">
      <x:c r="A33" s="11"/>
      <x:c r="B33" s="11"/>
      <x:c r="C33" s="11"/>
      <x:c r="D33" s="11"/>
      <x:c r="E33" s="11"/>
    </x:row>
    <x:row r="34">
      <x:c r="A34" s="11"/>
      <x:c r="B34" s="11"/>
      <x:c r="C34" s="11"/>
      <x:c r="D34" s="11"/>
      <x:c r="E34" s="11"/>
    </x:row>
    <x:row r="35">
      <x:c r="A35" s="11"/>
      <x:c r="B35" s="11"/>
      <x:c r="C35" s="11"/>
      <x:c r="D35" s="11"/>
      <x:c r="E35" s="11"/>
    </x:row>
    <x:row r="36">
      <x:c r="A36" s="11"/>
      <x:c r="B36" s="11"/>
      <x:c r="C36" s="11"/>
      <x:c r="D36" s="11"/>
      <x:c r="E36" s="11"/>
    </x:row>
    <x:row r="37">
      <x:c r="A37" s="11"/>
      <x:c r="B37" s="11"/>
      <x:c r="C37" s="11"/>
      <x:c r="D37" s="11"/>
      <x:c r="E37" s="11"/>
    </x:row>
    <x:row r="38">
      <x:c r="A38" s="11"/>
      <x:c r="B38" s="11"/>
      <x:c r="C38" s="11"/>
      <x:c r="D38" s="11"/>
      <x:c r="E38" s="11"/>
    </x:row>
    <x:row r="39">
      <x:c r="A39" s="11"/>
      <x:c r="B39" s="11"/>
      <x:c r="C39" s="11"/>
      <x:c r="D39" s="11"/>
      <x:c r="E39" s="11"/>
    </x:row>
    <x:row r="40">
      <x:c r="A40" s="11"/>
      <x:c r="B40" s="11"/>
      <x:c r="C40" s="11"/>
      <x:c r="D40" s="11"/>
      <x:c r="E40" s="11"/>
    </x:row>
    <x:row r="41">
      <x:c r="A41" s="11"/>
      <x:c r="B41" s="11"/>
      <x:c r="C41" s="11"/>
      <x:c r="D41" s="11"/>
      <x:c r="E41" s="11"/>
    </x:row>
    <x:row r="42">
      <x:c r="A42" s="11"/>
      <x:c r="B42" s="11"/>
      <x:c r="C42" s="11"/>
      <x:c r="D42" s="11"/>
      <x:c r="E42" s="11"/>
    </x:row>
    <x:row r="43">
      <x:c r="A43" s="11"/>
      <x:c r="B43" s="11"/>
      <x:c r="C43" s="11"/>
      <x:c r="D43" s="11"/>
      <x:c r="E43" s="11"/>
    </x:row>
    <x:row r="44">
      <x:c r="A44" s="11"/>
      <x:c r="B44" s="11"/>
      <x:c r="C44" s="11"/>
      <x:c r="D44" s="11"/>
      <x:c r="E44" s="11"/>
    </x:row>
    <x:row r="45">
      <x:c r="A45" s="11"/>
      <x:c r="B45" s="11"/>
      <x:c r="C45" s="11"/>
      <x:c r="D45" s="11"/>
      <x:c r="E45" s="11"/>
    </x:row>
    <x:row r="46">
      <x:c r="A46" s="11"/>
      <x:c r="B46" s="11"/>
      <x:c r="C46" s="11"/>
      <x:c r="D46" s="11"/>
      <x:c r="E46" s="11"/>
    </x:row>
    <x:row r="47">
      <x:c r="A47" s="11"/>
      <x:c r="B47" s="11"/>
      <x:c r="C47" s="11"/>
      <x:c r="D47" s="11"/>
      <x:c r="E47" s="11"/>
    </x:row>
    <x:row r="48">
      <x:c r="A48" s="11"/>
      <x:c r="B48" s="11"/>
      <x:c r="C48" s="11"/>
      <x:c r="D48" s="11"/>
      <x:c r="E48" s="11"/>
    </x:row>
    <x:row r="49">
      <x:c r="A49" s="11"/>
      <x:c r="B49" s="11"/>
      <x:c r="C49" s="11"/>
      <x:c r="D49" s="11"/>
      <x:c r="E49" s="11"/>
    </x:row>
    <x:row r="50">
      <x:c r="A50" s="11"/>
      <x:c r="B50" s="11"/>
      <x:c r="C50" s="11"/>
      <x:c r="D50" s="11"/>
      <x:c r="E50" s="11"/>
    </x:row>
    <x:row r="51">
      <x:c r="A51" s="11"/>
      <x:c r="B51" s="11"/>
      <x:c r="C51" s="11"/>
      <x:c r="D51" s="11"/>
      <x:c r="E51" s="11"/>
    </x:row>
    <x:row r="52">
      <x:c r="A52" s="11"/>
      <x:c r="B52" s="11"/>
      <x:c r="C52" s="11"/>
      <x:c r="D52" s="11"/>
      <x:c r="E52" s="11"/>
    </x:row>
    <x:row r="53">
      <x:c r="A53" s="11"/>
      <x:c r="B53" s="11"/>
      <x:c r="C53" s="11"/>
      <x:c r="D53" s="11"/>
      <x:c r="E53" s="11"/>
    </x:row>
    <x:row r="54">
      <x:c r="A54" s="11"/>
      <x:c r="B54" s="11"/>
      <x:c r="C54" s="11"/>
      <x:c r="D54" s="11"/>
      <x:c r="E54" s="11"/>
    </x:row>
    <x:row r="55">
      <x:c r="A55" s="11"/>
      <x:c r="B55" s="11"/>
      <x:c r="C55" s="11"/>
      <x:c r="D55" s="11"/>
      <x:c r="E55" s="11"/>
    </x:row>
    <x:row r="56">
      <x:c r="A56" s="11"/>
      <x:c r="B56" s="11"/>
      <x:c r="C56" s="11"/>
      <x:c r="D56" s="11"/>
      <x:c r="E56" s="11"/>
    </x:row>
    <x:row r="57">
      <x:c r="A57" s="11"/>
      <x:c r="B57" s="11"/>
      <x:c r="C57" s="11"/>
      <x:c r="D57" s="11"/>
      <x:c r="E57" s="11"/>
    </x:row>
    <x:row r="58">
      <x:c r="A58" s="11"/>
      <x:c r="B58" s="11"/>
      <x:c r="C58" s="11"/>
      <x:c r="D58" s="11"/>
      <x:c r="E58" s="11"/>
    </x:row>
    <x:row r="59">
      <x:c r="A59" s="11"/>
      <x:c r="B59" s="11"/>
      <x:c r="C59" s="11"/>
      <x:c r="D59" s="11"/>
      <x:c r="E59" s="11"/>
    </x:row>
    <x:row r="60">
      <x:c r="A60" s="11"/>
      <x:c r="B60" s="11"/>
      <x:c r="C60" s="11"/>
      <x:c r="D60" s="11"/>
      <x:c r="E60" s="11"/>
    </x:row>
    <x:row r="61">
      <x:c r="A61" s="11"/>
      <x:c r="B61" s="11"/>
      <x:c r="C61" s="11"/>
      <x:c r="D61" s="11"/>
      <x:c r="E61" s="11"/>
    </x:row>
    <x:row r="62">
      <x:c r="A62" s="11"/>
      <x:c r="B62" s="11"/>
      <x:c r="C62" s="11"/>
      <x:c r="D62" s="11"/>
      <x:c r="E62" s="11"/>
    </x:row>
    <x:row r="63">
      <x:c r="A63" s="11"/>
      <x:c r="B63" s="11"/>
      <x:c r="C63" s="11"/>
      <x:c r="D63" s="11"/>
      <x:c r="E63" s="11"/>
    </x:row>
    <x:row r="64">
      <x:c r="A64" s="11"/>
      <x:c r="B64" s="11"/>
      <x:c r="C64" s="11"/>
      <x:c r="D64" s="11"/>
      <x:c r="E64" s="11"/>
    </x:row>
    <x:row r="65">
      <x:c r="A65" s="11"/>
      <x:c r="B65" s="11"/>
      <x:c r="C65" s="11"/>
      <x:c r="D65" s="11"/>
      <x:c r="E65" s="11"/>
    </x:row>
    <x:row r="66">
      <x:c r="A66" s="11"/>
      <x:c r="B66" s="11"/>
      <x:c r="C66" s="11"/>
      <x:c r="D66" s="11"/>
      <x:c r="E66" s="11"/>
    </x:row>
    <x:row r="67">
      <x:c r="A67" s="11"/>
      <x:c r="B67" s="11"/>
      <x:c r="C67" s="11"/>
      <x:c r="D67" s="11"/>
      <x:c r="E67" s="11"/>
    </x:row>
    <x:row r="68">
      <x:c r="A68" s="11"/>
      <x:c r="B68" s="11"/>
      <x:c r="C68" s="11"/>
      <x:c r="D68" s="11"/>
      <x:c r="E68" s="11"/>
    </x:row>
    <x:row r="69">
      <x:c r="A69" s="11"/>
      <x:c r="B69" s="11"/>
      <x:c r="C69" s="11"/>
      <x:c r="D69" s="11"/>
      <x:c r="E69" s="11"/>
    </x:row>
    <x:row r="70">
      <x:c r="A70" s="11"/>
      <x:c r="B70" s="11"/>
      <x:c r="C70" s="11"/>
      <x:c r="D70" s="11"/>
      <x:c r="E70" s="11"/>
    </x:row>
    <x:row r="71">
      <x:c r="A71" s="11"/>
      <x:c r="B71" s="11"/>
      <x:c r="C71" s="11"/>
      <x:c r="D71" s="11"/>
      <x:c r="E71" s="11"/>
    </x:row>
    <x:row r="72">
      <x:c r="A72" s="11"/>
      <x:c r="B72" s="11"/>
      <x:c r="C72" s="11"/>
      <x:c r="D72" s="11"/>
      <x:c r="E72" s="11"/>
    </x:row>
    <x:row r="73">
      <x:c r="A73" s="11"/>
      <x:c r="B73" s="11"/>
      <x:c r="C73" s="11"/>
      <x:c r="D73" s="11"/>
      <x:c r="E73" s="11"/>
    </x:row>
    <x:row r="74">
      <x:c r="A74" s="11"/>
      <x:c r="B74" s="11"/>
      <x:c r="C74" s="11"/>
      <x:c r="D74" s="11"/>
      <x:c r="E74" s="11"/>
    </x:row>
    <x:row r="75">
      <x:c r="A75" s="11"/>
      <x:c r="B75" s="11"/>
      <x:c r="C75" s="11"/>
      <x:c r="D75" s="11"/>
      <x:c r="E75" s="11"/>
    </x:row>
    <x:row r="76">
      <x:c r="A76" s="11"/>
      <x:c r="B76" s="11"/>
      <x:c r="C76" s="11"/>
      <x:c r="D76" s="11"/>
      <x:c r="E76" s="11"/>
    </x:row>
    <x:row r="77">
      <x:c r="A77" s="11"/>
      <x:c r="B77" s="11"/>
      <x:c r="C77" s="11"/>
      <x:c r="D77" s="11"/>
      <x:c r="E77" s="11"/>
    </x:row>
    <x:row r="78">
      <x:c r="A78" s="11"/>
      <x:c r="B78" s="11"/>
      <x:c r="C78" s="11"/>
      <x:c r="D78" s="11"/>
      <x:c r="E78" s="11"/>
    </x:row>
    <x:row r="79">
      <x:c r="A79" s="11"/>
      <x:c r="B79" s="11"/>
      <x:c r="C79" s="11"/>
      <x:c r="D79" s="11"/>
      <x:c r="E79" s="11"/>
    </x:row>
    <x:row r="80">
      <x:c r="A80" s="11"/>
      <x:c r="B80" s="11"/>
      <x:c r="C80" s="11"/>
      <x:c r="D80" s="11"/>
      <x:c r="E80" s="11"/>
    </x:row>
  </x:sheetData>
  <x:pageMargins left="0.7" right="0.7" top="0.75" bottom="0.75" header="0.3" footer="0.3"/>
  <x:tableParts count="1">
    <x:tablePart xmlns:r="http://schemas.openxmlformats.org/officeDocument/2006/relationships" r:id="Rdb8d955359254b82"/>
  </x:tableParts>
</x:worksheet>
</file>

<file path=xl/worksheets/sheet4.xml><?xml version="1.0" encoding="utf-8"?>
<x:worksheet xmlns:x="http://schemas.openxmlformats.org/spreadsheetml/2006/main">
  <x:sheetFormatPr defaultRowHeight="15"/>
  <x:cols>
    <x:col min="1" max="1" width="30" hidden="0" customWidth="1"/>
    <x:col min="2" max="2" width="34" hidden="0" customWidth="1"/>
    <x:col min="3" max="3" width="42" hidden="0" customWidth="1"/>
    <x:col min="4" max="4" width="100" hidden="0" customWidth="1"/>
  </x:cols>
  <x:sheetData>
    <x:row r="1">
      <x:c r="A1" s="10" t="str">
        <x:v>prompt_id</x:v>
      </x:c>
      <x:c r="B1" s="10" t="str">
        <x:v>prompt_name</x:v>
      </x:c>
      <x:c r="C1" s="10" t="str">
        <x:v>when_to_use</x:v>
      </x:c>
      <x:c r="D1" s="10" t="str">
        <x:v>prompt_text</x:v>
      </x:c>
    </x:row>
    <x:row r="2">
      <x:c r="A2" s="11" t="str">
        <x:v>P00_UNIVERSAL_SOURCE_EXTRACTION</x:v>
      </x:c>
      <x:c r="B2" s="11" t="str">
        <x:v>Universal one-source extraction</x:v>
      </x:c>
      <x:c r="C2" s="11" t="str">
        <x:v>Use this prompt for every substantive PDF before any cluster-specific prompt.</x:v>
      </x:c>
      <x:c r="D2" s="11" t="str">
        <x:v>You are processing ONE source for an Obsidian literature registry. Use only this source. Do not use outside knowledge. Produce concise, source-grounded answers.
1. Bibliographic identity: author(s), year, title, journal/book, DOI if visible.
2. Research object: what empirical object does the source study?
3. Case and scope: country/region, election/cycle, platform, time period, sample size if available.
4. Method: qualitative, manual content analysis, LDA, STM, supervised classifier, experiment, survey, SNA, theory, other.
5. Core claim: 3-5 bullet points on what the source argues or finds.
6. Relevance to Diego paper: does it help with paid ads, microtargeting, LDA/topic modeling, Chile/LatAm, digitalization/platformization, ethics/regulation, or venue positioning?
7. Exact extraction anchors: provide 3-5 short source-grounded paraphrases with page/section markers if NotebookLM can see them.
8. Limitations: what should NOT be inferred from this source?</x:v>
      </x:c>
    </x:row>
    <x:row r="3">
      <x:c r="A3" s="11" t="str">
        <x:v>P01_PAID_ADS_OBJECT</x:v>
      </x:c>
      <x:c r="B3" s="11" t="str">
        <x:v>Paid digital political ads prompt</x:v>
      </x:c>
      <x:c r="C3" s="11" t="str">
        <x:v>Use for G1 or sources that discuss ads, ad archives, targeting, political advertising effects.</x:v>
      </x:c>
      <x:c r="D3" s="11" t="str">
        <x:v>From this source, extract only material relevant to PAID DIGITAL POLITICAL ADVERTISING.
Answer:
1. Does it study paid ads, organic posts, traditional ads, or another object?
2. Does it distinguish paid ads from organic posts? If yes, how?
3. Which platforms or ad archives appear? Meta/Facebook Ad Library, Google, TikTok, Twitter/X, other?
4. What mechanisms are discussed: targeting, segmentation, reach, persuasion, issue salience, mobilization, opacity, disclosure?
5. What assumptions does it make about audiences?
6. What sentence could Diego cite to justify studying paid ads as a distinct political-communication object?</x:v>
      </x:c>
    </x:row>
    <x:row r="4">
      <x:c r="A4" s="11" t="str">
        <x:v>P02_TOPIC_MODELING_METHOD</x:v>
      </x:c>
      <x:c r="B4" s="11" t="str">
        <x:v>Topic-modeling / method prompt</x:v>
      </x:c>
      <x:c r="C4" s="11" t="str">
        <x:v>Use for G2 sources: LDA, STM, BERT, supervised classification, text-as-data, NLP validation.</x:v>
      </x:c>
      <x:c r="D4" s="11" t="str">
        <x:v>From this source, extract only methodological information relevant to topic modeling or computational political text analysis.
Answer:
1. What method is used: LDA, STM, BERTopic, embeddings, dictionary, supervised classifier, manual coding, other?
2. What text corpus is analyzed and how large is it?
3. What validation strategy is used: coherence, held-out likelihood, human coding, expert rating, robustness, qualitative inspection, other?
4. What preprocessing choices are reported?
5. Does the source discuss short texts, multilingual text, Spanish-language text, or political advertising text?
6. What are the method’s limitations according to the source?
7. How can Diego cite this source: as method precedent, warning, alternative, or validation standard?</x:v>
      </x:c>
    </x:row>
    <x:row r="5">
      <x:c r="A5" s="11" t="str">
        <x:v>P03_PLATFORMIZATION_DIGITAL_POLITICS</x:v>
      </x:c>
      <x:c r="B5" s="11" t="str">
        <x:v>Digitalization / platformization prompt</x:v>
      </x:c>
      <x:c r="C5" s="11" t="str">
        <x:v>Use for G3 sources on digital politics, platformization, datafication, comparative campaign transformation.</x:v>
      </x:c>
      <x:c r="D5" s="11" t="str">
        <x:v>From this source, extract material on the digitalization/platformization of politics.
Answer:
1. What is the source’s concept of digitalization, platformization, datafication, or computational political communication?
2. Which actors matter: campaigns, platforms, voters, journalists, regulators, parties, movements?
3. Does the source treat platforms as neutral channels or active infrastructures?
4. Is the argument global/comparative, national, or regional?
5. What mechanisms link digital platforms to campaign strategy?
6. What sentence could Diego cite to connect Chile 2021 to a broader transformation of political communication?</x:v>
      </x:c>
    </x:row>
    <x:row r="6">
      <x:c r="A6" s="11" t="str">
        <x:v>P04_CHILE_LATAM_CONTEXT</x:v>
      </x:c>
      <x:c r="B6" s="11" t="str">
        <x:v>Chile / Latin America context prompt</x:v>
      </x:c>
      <x:c r="C6" s="11" t="str">
        <x:v>Use for G4 sources on Chile, LatAm campaigns, party systems, elections, media, or regional digital politics.</x:v>
      </x:c>
      <x:c r="D6" s="11" t="str">
        <x:v>From this source, extract material relevant to Chile or Latin American political communication.
Answer:
1. Which country/countries and election/cycle are studied?
2. Does the source discuss Chile, the 2019 social uprising, constitutional process, party-system fragmentation, Boric, Kast, Parisi, Sichel, or digital campaigning?
3. If comparative LatAm, what makes the region distinctive?
4. Which platforms and campaign tools are discussed?
5. Does the source provide a usable contrast case for Chile 2021?
6. What precise claim could Diego cite to justify Chile as a theoretically meaningful case, not just a convenience case?</x:v>
      </x:c>
    </x:row>
    <x:row r="7">
      <x:c r="A7" s="11" t="str">
        <x:v>P05_ETHICS_MANIPULATION_RISK</x:v>
      </x:c>
      <x:c r="B7" s="11" t="str">
        <x:v>Ethics / manipulation / democratic risk prompt</x:v>
      </x:c>
      <x:c r="C7" s="11" t="str">
        <x:v>Use for G5 sources on risk, manipulation, misinformation, privacy, regulation, deepfakes, microtargeting fears.</x:v>
      </x:c>
      <x:c r="D7" s="11" t="str">
        <x:v>From this source, extract material on democratic risks of digital campaigning.
Answer:
1. What risks are named: manipulation, privacy, opacity, polarization, misinformation, unequal exposure, persuasion, demobilization, regulation failure?
2. Does the source distinguish empirical evidence from speculative concern?
3. Does it argue microtargeting is inherently harmful, conditionally risky, or over-feared?
4. What role do platforms, campaigns, and regulators play?
5. What counterargument should Diego acknowledge if citing this source?
6. What sentence could Diego cite to frame the ethics/evidence debate?</x:v>
      </x:c>
    </x:row>
    <x:row r="8">
      <x:c r="A8" s="11" t="str">
        <x:v>P06_DIGITAL_CAPITALISM_PLATFORM_POWER</x:v>
      </x:c>
      <x:c r="B8" s="11" t="str">
        <x:v>Digital capitalism / platform power prompt</x:v>
      </x:c>
      <x:c r="C8" s="11" t="str">
        <x:v>Use for G6 sources, especially Chandler/Fuchs chapters and platform capitalism theory.</x:v>
      </x:c>
      <x:c r="D8" s="11" t="str">
        <x:v>From this source, extract material relevant to digital capitalism, platform power, or critical theory of digital governance.
Answer:
1. What is the source’s main theoretical object: platform capitalism, digital labor, data extraction, digital governance, algorithmic control, cybernetics, posthumanism, Marx, political subjectivity, other?
2. What mechanism links digital technology to power?
3. Does the source help theorize political advertising as a platform-mediated infrastructure of visibility/control?
4. What concepts are portable to Diego’s conceptual framework without overloading the paper?
5. What should NOT be imported because it is too broad or unrelated?
6. Provide 3 concise conceptual building blocks that could be used in a literature/theory note.</x:v>
      </x:c>
    </x:row>
    <x:row r="9">
      <x:c r="A9" s="11" t="str">
        <x:v>P07_VENUE_PRECEDENT</x:v>
      </x:c>
      <x:c r="B9" s="11" t="str">
        <x:v>Venue / precedent prompt</x:v>
      </x:c>
      <x:c r="C9" s="11" t="str">
        <x:v>Use for G7 sources or any close article from target journals.</x:v>
      </x:c>
      <x:c r="D9" s="11" t="str">
        <x:v>From this source, extract venue-positioning information.
Answer:
1. Journal, year, and article type.
2. Which part of Diego’s niche does it cover: method, object, region, case, theory, platform, or venue signal?
3. Is it a direct competitor, close analogue, methodological precedent, regional precedent, or general background source?
4. How should Diego position his paper relative to it?
5. What gap remains after this source?
6. Give a one-sentence citation use: "Use this source to show that..."</x:v>
      </x:c>
    </x:row>
    <x:row r="10">
      <x:c r="A10" s="11" t="str">
        <x:v>P08_CHATGPT_NORMALIZE_TO_OBSIDIAN</x:v>
      </x:c>
      <x:c r="B10" s="11" t="str">
        <x:v>ChatGPT normalization prompt</x:v>
      </x:c>
      <x:c r="C10" s="11" t="str">
        <x:v>Paste NotebookLM output into ChatGPT with this prompt to create an Obsidian note.</x:v>
      </x:c>
      <x:c r="D10" s="11" t="str">
        <x:v>Convert the following NotebookLM output into an Obsidian source note. Do not add claims not present in the output. Use this structure:
---
type: source_note
status: draft_ra
source_id:
filename:
author_year:
clusters:
priority:
needs_diegeo_review: yes/no
---
# [AUTHOR YEAR] — [Short Title]
## Bibliographic identity
## What this source studies
## Method and corpus
## Core claims / findings
## Relevance to Diego paper
## Cluster tags
## Possible citation uses
## Limits / do not infer
## Open questions for checkpoint
Now normalize this NotebookLM output:</x:v>
      </x:c>
    </x:row>
    <x:row r="11">
      <x:c r="A11" s="11" t="str">
        <x:v>P09_30_MIN_CHECKPOINT_PACKET</x:v>
      </x:c>
      <x:c r="B11" s="11" t="str">
        <x:v>30-minute checkpoint packet</x:v>
      </x:c>
      <x:c r="C11" s="11" t="str">
        <x:v>Use at the end of each supervised block.</x:v>
      </x:c>
      <x:c r="D11" s="11" t="str">
        <x:v>Prepare a checkpoint packet for Diego:
1. PDFs processed in this block.
2. Notes created or updated.
3. Cluster assignments made.
4. Yellow cases: uncertain but continued.
5. Red cases: need Diego decision before continuing.
6. Claims that looked important but may require verification.
7. Next 30-minute plan.</x:v>
      </x:c>
    </x:row>
    <x:row r="12">
      <x:c r="A12" s="11"/>
      <x:c r="B12" s="11"/>
      <x:c r="C12" s="11"/>
      <x:c r="D12" s="11"/>
    </x:row>
    <x:row r="13">
      <x:c r="A13" s="11"/>
      <x:c r="B13" s="11"/>
      <x:c r="C13" s="11"/>
      <x:c r="D13" s="11"/>
    </x:row>
    <x:row r="14">
      <x:c r="A14" s="11"/>
      <x:c r="B14" s="11"/>
      <x:c r="C14" s="11"/>
      <x:c r="D14" s="11"/>
    </x:row>
    <x:row r="15">
      <x:c r="A15" s="11"/>
      <x:c r="B15" s="11"/>
      <x:c r="C15" s="11"/>
      <x:c r="D15" s="11"/>
    </x:row>
    <x:row r="16">
      <x:c r="A16" s="11"/>
      <x:c r="B16" s="11"/>
      <x:c r="C16" s="11"/>
      <x:c r="D16" s="11"/>
    </x:row>
    <x:row r="17">
      <x:c r="A17" s="11"/>
      <x:c r="B17" s="11"/>
      <x:c r="C17" s="11"/>
      <x:c r="D17" s="11"/>
    </x:row>
    <x:row r="18">
      <x:c r="A18" s="11"/>
      <x:c r="B18" s="11"/>
      <x:c r="C18" s="11"/>
      <x:c r="D18" s="11"/>
    </x:row>
    <x:row r="19">
      <x:c r="A19" s="11"/>
      <x:c r="B19" s="11"/>
      <x:c r="C19" s="11"/>
      <x:c r="D19" s="11"/>
    </x:row>
    <x:row r="20">
      <x:c r="A20" s="11"/>
      <x:c r="B20" s="11"/>
      <x:c r="C20" s="11"/>
      <x:c r="D20" s="11"/>
    </x:row>
    <x:row r="21">
      <x:c r="A21" s="11"/>
      <x:c r="B21" s="11"/>
      <x:c r="C21" s="11"/>
      <x:c r="D21" s="11"/>
    </x:row>
    <x:row r="22">
      <x:c r="A22" s="11"/>
      <x:c r="B22" s="11"/>
      <x:c r="C22" s="11"/>
      <x:c r="D22" s="11"/>
    </x:row>
    <x:row r="23">
      <x:c r="A23" s="11"/>
      <x:c r="B23" s="11"/>
      <x:c r="C23" s="11"/>
      <x:c r="D23" s="11"/>
    </x:row>
    <x:row r="24">
      <x:c r="A24" s="11"/>
      <x:c r="B24" s="11"/>
      <x:c r="C24" s="11"/>
      <x:c r="D24" s="11"/>
    </x:row>
    <x:row r="25">
      <x:c r="A25" s="11"/>
      <x:c r="B25" s="11"/>
      <x:c r="C25" s="11"/>
      <x:c r="D25" s="11"/>
    </x:row>
    <x:row r="26">
      <x:c r="A26" s="11"/>
      <x:c r="B26" s="11"/>
      <x:c r="C26" s="11"/>
      <x:c r="D26" s="11"/>
    </x:row>
    <x:row r="27">
      <x:c r="A27" s="11"/>
      <x:c r="B27" s="11"/>
      <x:c r="C27" s="11"/>
      <x:c r="D27" s="11"/>
    </x:row>
    <x:row r="28">
      <x:c r="A28" s="11"/>
      <x:c r="B28" s="11"/>
      <x:c r="C28" s="11"/>
      <x:c r="D28" s="11"/>
    </x:row>
    <x:row r="29">
      <x:c r="A29" s="11"/>
      <x:c r="B29" s="11"/>
      <x:c r="C29" s="11"/>
      <x:c r="D29" s="11"/>
    </x:row>
    <x:row r="30">
      <x:c r="A30" s="11"/>
      <x:c r="B30" s="11"/>
      <x:c r="C30" s="11"/>
      <x:c r="D30" s="11"/>
    </x:row>
    <x:row r="31">
      <x:c r="A31" s="11"/>
      <x:c r="B31" s="11"/>
      <x:c r="C31" s="11"/>
      <x:c r="D31" s="11"/>
    </x:row>
    <x:row r="32">
      <x:c r="A32" s="11"/>
      <x:c r="B32" s="11"/>
      <x:c r="C32" s="11"/>
      <x:c r="D32" s="11"/>
    </x:row>
    <x:row r="33">
      <x:c r="A33" s="11"/>
      <x:c r="B33" s="11"/>
      <x:c r="C33" s="11"/>
      <x:c r="D33" s="11"/>
    </x:row>
    <x:row r="34">
      <x:c r="A34" s="11"/>
      <x:c r="B34" s="11"/>
      <x:c r="C34" s="11"/>
      <x:c r="D34" s="11"/>
    </x:row>
    <x:row r="35">
      <x:c r="A35" s="11"/>
      <x:c r="B35" s="11"/>
      <x:c r="C35" s="11"/>
      <x:c r="D35" s="11"/>
    </x:row>
    <x:row r="36">
      <x:c r="A36" s="11"/>
      <x:c r="B36" s="11"/>
      <x:c r="C36" s="11"/>
      <x:c r="D36" s="11"/>
    </x:row>
    <x:row r="37">
      <x:c r="A37" s="11"/>
      <x:c r="B37" s="11"/>
      <x:c r="C37" s="11"/>
      <x:c r="D37" s="11"/>
    </x:row>
    <x:row r="38">
      <x:c r="A38" s="11"/>
      <x:c r="B38" s="11"/>
      <x:c r="C38" s="11"/>
      <x:c r="D38" s="11"/>
    </x:row>
    <x:row r="39">
      <x:c r="A39" s="11"/>
      <x:c r="B39" s="11"/>
      <x:c r="C39" s="11"/>
      <x:c r="D39" s="11"/>
    </x:row>
    <x:row r="40">
      <x:c r="A40" s="11"/>
      <x:c r="B40" s="11"/>
      <x:c r="C40" s="11"/>
      <x:c r="D40" s="11"/>
    </x:row>
    <x:row r="41">
      <x:c r="A41" s="11"/>
      <x:c r="B41" s="11"/>
      <x:c r="C41" s="11"/>
      <x:c r="D41" s="11"/>
    </x:row>
    <x:row r="42">
      <x:c r="A42" s="11"/>
      <x:c r="B42" s="11"/>
      <x:c r="C42" s="11"/>
      <x:c r="D42" s="11"/>
    </x:row>
    <x:row r="43">
      <x:c r="A43" s="11"/>
      <x:c r="B43" s="11"/>
      <x:c r="C43" s="11"/>
      <x:c r="D43" s="11"/>
    </x:row>
    <x:row r="44">
      <x:c r="A44" s="11"/>
      <x:c r="B44" s="11"/>
      <x:c r="C44" s="11"/>
      <x:c r="D44" s="11"/>
    </x:row>
    <x:row r="45">
      <x:c r="A45" s="11"/>
      <x:c r="B45" s="11"/>
      <x:c r="C45" s="11"/>
      <x:c r="D45" s="11"/>
    </x:row>
    <x:row r="46">
      <x:c r="A46" s="11"/>
      <x:c r="B46" s="11"/>
      <x:c r="C46" s="11"/>
      <x:c r="D46" s="11"/>
    </x:row>
    <x:row r="47">
      <x:c r="A47" s="11"/>
      <x:c r="B47" s="11"/>
      <x:c r="C47" s="11"/>
      <x:c r="D47" s="11"/>
    </x:row>
    <x:row r="48">
      <x:c r="A48" s="11"/>
      <x:c r="B48" s="11"/>
      <x:c r="C48" s="11"/>
      <x:c r="D48" s="11"/>
    </x:row>
    <x:row r="49">
      <x:c r="A49" s="11"/>
      <x:c r="B49" s="11"/>
      <x:c r="C49" s="11"/>
      <x:c r="D49" s="11"/>
    </x:row>
    <x:row r="50">
      <x:c r="A50" s="11"/>
      <x:c r="B50" s="11"/>
      <x:c r="C50" s="11"/>
      <x:c r="D50" s="11"/>
    </x:row>
    <x:row r="51">
      <x:c r="A51" s="11"/>
      <x:c r="B51" s="11"/>
      <x:c r="C51" s="11"/>
      <x:c r="D51" s="11"/>
    </x:row>
    <x:row r="52">
      <x:c r="A52" s="11"/>
      <x:c r="B52" s="11"/>
      <x:c r="C52" s="11"/>
      <x:c r="D52" s="11"/>
    </x:row>
    <x:row r="53">
      <x:c r="A53" s="11"/>
      <x:c r="B53" s="11"/>
      <x:c r="C53" s="11"/>
      <x:c r="D53" s="11"/>
    </x:row>
    <x:row r="54">
      <x:c r="A54" s="11"/>
      <x:c r="B54" s="11"/>
      <x:c r="C54" s="11"/>
      <x:c r="D54" s="11"/>
    </x:row>
    <x:row r="55">
      <x:c r="A55" s="11"/>
      <x:c r="B55" s="11"/>
      <x:c r="C55" s="11"/>
      <x:c r="D55" s="11"/>
    </x:row>
    <x:row r="56">
      <x:c r="A56" s="11"/>
      <x:c r="B56" s="11"/>
      <x:c r="C56" s="11"/>
      <x:c r="D56" s="11"/>
    </x:row>
    <x:row r="57">
      <x:c r="A57" s="11"/>
      <x:c r="B57" s="11"/>
      <x:c r="C57" s="11"/>
      <x:c r="D57" s="11"/>
    </x:row>
    <x:row r="58">
      <x:c r="A58" s="11"/>
      <x:c r="B58" s="11"/>
      <x:c r="C58" s="11"/>
      <x:c r="D58" s="11"/>
    </x:row>
    <x:row r="59">
      <x:c r="A59" s="11"/>
      <x:c r="B59" s="11"/>
      <x:c r="C59" s="11"/>
      <x:c r="D59" s="11"/>
    </x:row>
    <x:row r="60">
      <x:c r="A60" s="11"/>
      <x:c r="B60" s="11"/>
      <x:c r="C60" s="11"/>
      <x:c r="D60" s="11"/>
    </x:row>
    <x:row r="61">
      <x:c r="A61" s="11"/>
      <x:c r="B61" s="11"/>
      <x:c r="C61" s="11"/>
      <x:c r="D61" s="11"/>
    </x:row>
    <x:row r="62">
      <x:c r="A62" s="11"/>
      <x:c r="B62" s="11"/>
      <x:c r="C62" s="11"/>
      <x:c r="D62" s="11"/>
    </x:row>
    <x:row r="63">
      <x:c r="A63" s="11"/>
      <x:c r="B63" s="11"/>
      <x:c r="C63" s="11"/>
      <x:c r="D63" s="11"/>
    </x:row>
    <x:row r="64">
      <x:c r="A64" s="11"/>
      <x:c r="B64" s="11"/>
      <x:c r="C64" s="11"/>
      <x:c r="D64" s="11"/>
    </x:row>
    <x:row r="65">
      <x:c r="A65" s="11"/>
      <x:c r="B65" s="11"/>
      <x:c r="C65" s="11"/>
      <x:c r="D65" s="11"/>
    </x:row>
    <x:row r="66">
      <x:c r="A66" s="11"/>
      <x:c r="B66" s="11"/>
      <x:c r="C66" s="11"/>
      <x:c r="D66" s="11"/>
    </x:row>
    <x:row r="67">
      <x:c r="A67" s="11"/>
      <x:c r="B67" s="11"/>
      <x:c r="C67" s="11"/>
      <x:c r="D67" s="11"/>
    </x:row>
    <x:row r="68">
      <x:c r="A68" s="11"/>
      <x:c r="B68" s="11"/>
      <x:c r="C68" s="11"/>
      <x:c r="D68" s="11"/>
    </x:row>
    <x:row r="69">
      <x:c r="A69" s="11"/>
      <x:c r="B69" s="11"/>
      <x:c r="C69" s="11"/>
      <x:c r="D69" s="11"/>
    </x:row>
    <x:row r="70">
      <x:c r="A70" s="11"/>
      <x:c r="B70" s="11"/>
      <x:c r="C70" s="11"/>
      <x:c r="D70" s="11"/>
    </x:row>
    <x:row r="71">
      <x:c r="A71" s="11"/>
      <x:c r="B71" s="11"/>
      <x:c r="C71" s="11"/>
      <x:c r="D71" s="11"/>
    </x:row>
    <x:row r="72">
      <x:c r="A72" s="11"/>
      <x:c r="B72" s="11"/>
      <x:c r="C72" s="11"/>
      <x:c r="D72" s="11"/>
    </x:row>
    <x:row r="73">
      <x:c r="A73" s="11"/>
      <x:c r="B73" s="11"/>
      <x:c r="C73" s="11"/>
      <x:c r="D73" s="11"/>
    </x:row>
    <x:row r="74">
      <x:c r="A74" s="11"/>
      <x:c r="B74" s="11"/>
      <x:c r="C74" s="11"/>
      <x:c r="D74" s="11"/>
    </x:row>
    <x:row r="75">
      <x:c r="A75" s="11"/>
      <x:c r="B75" s="11"/>
      <x:c r="C75" s="11"/>
      <x:c r="D75" s="11"/>
    </x:row>
    <x:row r="76">
      <x:c r="A76" s="11"/>
      <x:c r="B76" s="11"/>
      <x:c r="C76" s="11"/>
      <x:c r="D76" s="11"/>
    </x:row>
    <x:row r="77">
      <x:c r="A77" s="11"/>
      <x:c r="B77" s="11"/>
      <x:c r="C77" s="11"/>
      <x:c r="D77" s="11"/>
    </x:row>
    <x:row r="78">
      <x:c r="A78" s="11"/>
      <x:c r="B78" s="11"/>
      <x:c r="C78" s="11"/>
      <x:c r="D78" s="11"/>
    </x:row>
    <x:row r="79">
      <x:c r="A79" s="11"/>
      <x:c r="B79" s="11"/>
      <x:c r="C79" s="11"/>
      <x:c r="D79" s="11"/>
    </x:row>
    <x:row r="80">
      <x:c r="A80" s="11"/>
      <x:c r="B80" s="11"/>
      <x:c r="C80" s="11"/>
      <x:c r="D80" s="11"/>
    </x:row>
  </x:sheetData>
  <x:pageMargins left="0.7" right="0.7" top="0.75" bottom="0.75" header="0.3" footer="0.3"/>
  <x:tableParts count="1">
    <x:tablePart xmlns:r="http://schemas.openxmlformats.org/officeDocument/2006/relationships" r:id="Rf10b57c594f9456f"/>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2" hidden="0" customWidth="1"/>
    <x:col min="4" max="4" width="20" hidden="0" customWidth="1"/>
    <x:col min="5" max="5" width="22" hidden="0" customWidth="1"/>
    <x:col min="6" max="6" width="10" hidden="0" customWidth="1"/>
    <x:col min="7" max="7" width="10" hidden="0" customWidth="1"/>
    <x:col min="8" max="8" width="18" hidden="0" customWidth="1"/>
    <x:col min="9" max="9" width="30" hidden="0" customWidth="1"/>
    <x:col min="10" max="10" width="30" hidden="0" customWidth="1"/>
    <x:col min="11" max="11" width="30" hidden="0" customWidth="1"/>
    <x:col min="12" max="12" width="12" hidden="0" customWidth="1"/>
    <x:col min="13" max="13" width="14" hidden="0" customWidth="1"/>
    <x:col min="14" max="14" width="22" hidden="0" customWidth="1"/>
    <x:col min="15" max="15" width="30" hidden="0" customWidth="1"/>
    <x:col min="16" max="16" width="36" hidden="0" customWidth="1"/>
    <x:col min="17" max="17" width="60" hidden="0" customWidth="1"/>
    <x:col min="18" max="18" width="38" hidden="0" customWidth="1"/>
    <x:col min="19" max="19" width="46" hidden="0" customWidth="1"/>
    <x:col min="20" max="20" width="24" hidden="0" customWidth="1"/>
    <x:col min="21" max="21" width="14" hidden="0" customWidth="1"/>
    <x:col min="22" max="22" width="14" hidden="0" customWidth="1"/>
    <x:col min="23" max="23" width="16" hidden="0" customWidth="1"/>
    <x:col min="24" max="24" width="35" hidden="0" customWidth="1"/>
  </x:cols>
  <x:sheetData>
    <x:row r="1">
      <x:c r="A1" s="10" t="str">
        <x:v>source_id</x:v>
      </x:c>
      <x:c r="B1" s="10" t="str">
        <x:v>filename</x:v>
      </x:c>
      <x:c r="C1" s="10" t="str">
        <x:v>relative_path</x:v>
      </x:c>
      <x:c r="D1" s="10" t="str">
        <x:v>folder</x:v>
      </x:c>
      <x:c r="E1" s="10" t="str">
        <x:v>author_key</x:v>
      </x:c>
      <x:c r="F1" s="10" t="str">
        <x:v>year_guess</x:v>
      </x:c>
      <x:c r="G1" s="10" t="str">
        <x:v>size_mb</x:v>
      </x:c>
      <x:c r="H1" s="10" t="str">
        <x:v>modified_local</x:v>
      </x:c>
      <x:c r="I1" s="10" t="str">
        <x:v>primary_cluster</x:v>
      </x:c>
      <x:c r="J1" s="10" t="str">
        <x:v>secondary_cluster</x:v>
      </x:c>
      <x:c r="K1" s="10" t="str">
        <x:v>tertiary_cluster</x:v>
      </x:c>
      <x:c r="L1" s="10" t="str">
        <x:v>priority</x:v>
      </x:c>
      <x:c r="M1" s="10" t="str">
        <x:v>checkpoint_flag</x:v>
      </x:c>
      <x:c r="N1" s="10" t="str">
        <x:v>RA_status</x:v>
      </x:c>
      <x:c r="O1" s="10" t="str">
        <x:v>NotebookLM_notebook</x:v>
      </x:c>
      <x:c r="P1" s="10" t="str">
        <x:v>prompt_ids_to_run</x:v>
      </x:c>
      <x:c r="Q1" s="10" t="str">
        <x:v>paper_specific_questions</x:v>
      </x:c>
      <x:c r="R1" s="10" t="str">
        <x:v>output_obsidian_note</x:v>
      </x:c>
      <x:c r="S1" s="10" t="str">
        <x:v>classification_basis</x:v>
      </x:c>
      <x:c r="T1" s="10" t="str">
        <x:v>Diego_decision_needed</x:v>
      </x:c>
      <x:c r="U1" s="10" t="str">
        <x:v>NotebookLM_loaded</x:v>
      </x:c>
      <x:c r="V1" s="10" t="str">
        <x:v>source_note_done</x:v>
      </x:c>
      <x:c r="W1" s="10" t="str">
        <x:v>cluster_memo_ready</x:v>
      </x:c>
      <x:c r="X1" s="10" t="str">
        <x:v>review_notes</x:v>
      </x:c>
    </x:row>
    <x:row r="2" ht="45" customHeight="1">
      <x:c r="A2" s="11" t="str">
        <x:v>PDF_001</x:v>
      </x:c>
      <x:c r="B2" s="11" t="str">
        <x:v>ALVAREZ-FUENTES_ETAL_2024.pdf</x:v>
      </x:c>
      <x:c r="C2" s="11" t="str">
        <x:v>ALVAREZ-FUENTES_ETAL_2024.pdf</x:v>
      </x:c>
      <x:c r="D2" s="11" t="str">
        <x:v>ROOT</x:v>
      </x:c>
      <x:c r="E2" s="11" t="str">
        <x:v>ALVAREZ-FUENTES_ETAL</x:v>
      </x:c>
      <x:c r="F2" s="11" t="str">
        <x:v>2024</x:v>
      </x:c>
      <x:c r="G2" s="11" t="n">
        <x:v>1.06</x:v>
      </x:c>
      <x:c r="H2" s="11" t="n">
        <x:v>46147.75225694444</x:v>
      </x:c>
      <x:c r="I2" s="11" t="str">
        <x:v>G4_CHILE_LATAM_CASE_CONTEXT</x:v>
      </x:c>
      <x:c r="J2" s="11" t="str">
        <x:v>G3_PLATFORMIZATION_DIGITAL_POLITICS</x:v>
      </x:c>
      <x:c r="K2" s="11" t="str"/>
      <x:c r="L2" s="11" t="str">
        <x:v>Review</x:v>
      </x:c>
      <x:c r="M2" s="11" t="str">
        <x:v>YELLOW</x:v>
      </x:c>
      <x:c r="N2" s="11" t="str">
        <x:v>Not Started</x:v>
      </x:c>
      <x:c r="O2" s="11" t="str">
        <x:v>NB04_Chile_LatAm_Context</x:v>
      </x:c>
      <x:c r="P2" s="11" t="str">
        <x:v>P00_UNIVERSAL_SOURCE_EXTRACTION + P04_CHILE_LATAM_CONTEXT + P03_PLATFORMIZATION_DIGITAL_POLITICS</x:v>
      </x:c>
      <x:c r="Q2" s="11" t="str">
        <x:v>[G4_CHILE_LATAM_CASE_CONTEXT] Which country/election is studied? What makes the context distinctive? Does it discuss Chile 2021, post-2019 politics, party fragmentation, LatAm platforms, or regional campaign practices?
[G3_PLATFORMIZATION_DIGITAL_POLITICS] How does the source define digitalization/platformization? What mechanisms are named? Does it treat platforms as passive channels or active infrastructures? Is the pattern global, local, or comparative?</x:v>
      </x:c>
      <x:c r="R2" s="11" t="str">
        <x:v>PDF_001_ALVAREZ-FUENTES_ETAL_2024.md</x:v>
      </x:c>
      <x:c r="S2" s="11" t="str">
        <x:v>Possible LatAm digital/political communication; verify exact object</x:v>
      </x:c>
      <x:c r="T2" s="11" t="str">
        <x:v>Yes - verify classification</x:v>
      </x:c>
      <x:c r="U2" s="11" t="str">
        <x:v>No</x:v>
      </x:c>
      <x:c r="V2" s="11" t="str">
        <x:v>No</x:v>
      </x:c>
      <x:c r="W2" s="11" t="str">
        <x:v>No</x:v>
      </x:c>
      <x:c r="X2" s="11" t="str"/>
    </x:row>
    <x:row r="3" ht="45" customHeight="1">
      <x:c r="A3" s="11" t="str">
        <x:v>PDF_002</x:v>
      </x:c>
      <x:c r="B3" s="11" t="str">
        <x:v>ANSTEAD_ETAL_2025.pdf</x:v>
      </x:c>
      <x:c r="C3" s="11" t="str">
        <x:v>ANSTEAD_ETAL_2025.pdf</x:v>
      </x:c>
      <x:c r="D3" s="11" t="str">
        <x:v>ROOT</x:v>
      </x:c>
      <x:c r="E3" s="11" t="str">
        <x:v>ANSTEAD_ETAL</x:v>
      </x:c>
      <x:c r="F3" s="11" t="str">
        <x:v>2025</x:v>
      </x:c>
      <x:c r="G3" s="11" t="n">
        <x:v>1.88</x:v>
      </x:c>
      <x:c r="H3" s="11" t="n">
        <x:v>46147.738483796296</x:v>
      </x:c>
      <x:c r="I3" s="11" t="str">
        <x:v>G1_PAID_ADS_OBJECT</x:v>
      </x:c>
      <x:c r="J3" s="11" t="str">
        <x:v>G5_ETHICS_MANIPULATION_RISK</x:v>
      </x:c>
      <x:c r="K3" s="11" t="str">
        <x:v>G3_PLATFORMIZATION_DIGITAL_POLITICS</x:v>
      </x:c>
      <x:c r="L3" s="11" t="str">
        <x:v>Review</x:v>
      </x:c>
      <x:c r="M3" s="11" t="str">
        <x:v>YELLOW</x:v>
      </x:c>
      <x:c r="N3" s="11" t="str">
        <x:v>Not Started</x:v>
      </x:c>
      <x:c r="O3" s="11" t="str">
        <x:v>NB01_Paid_Digital_Ads</x:v>
      </x:c>
      <x:c r="P3" s="11" t="str">
        <x:v>P00_UNIVERSAL_SOURCE_EXTRACTION + P01_PAID_ADS_OBJECT + P05_ETHICS_MANIPULATION_RISK + P03_PLATFORMIZATION_DIGITAL_POLITICS</x:v>
      </x:c>
      <x:c r="Q3" s="11" t="str">
        <x:v>[G1_PAID_ADS_OBJECT] Does the source study paid ads or organic posts? What platform? What targeting mechanism? What does it say about ad visibility, disclosure, persuasion, segmentation, or audience control?
[G5_ETHICS_MANIPULATION_RISK] What democratic risk is identified? Is the concern manipulation, privacy, polarization, misinformation, opacity, unequal exposure, or persuasion? Does the source distinguish fear from evidence?
[G3_PLATFORMIZATION_DIGITAL_POLITICS] How does the source define digitalization/platformization? What mechanisms are named? Does it treat platforms as passive channels or active infrastructures? Is the pattern global, local, or comparative?</x:v>
      </x:c>
      <x:c r="R3" s="11" t="str">
        <x:v>PDF_002_ANSTEAD_ETAL_2025.md</x:v>
      </x:c>
      <x:c r="S3" s="11" t="str">
        <x:v>Digital campaigning / microtargeting likely; verify exact object</x:v>
      </x:c>
      <x:c r="T3" s="11" t="str">
        <x:v>Yes - verify classification</x:v>
      </x:c>
      <x:c r="U3" s="11" t="str">
        <x:v>No</x:v>
      </x:c>
      <x:c r="V3" s="11" t="str">
        <x:v>No</x:v>
      </x:c>
      <x:c r="W3" s="11" t="str">
        <x:v>No</x:v>
      </x:c>
      <x:c r="X3" s="11" t="str"/>
    </x:row>
    <x:row r="4" ht="45" customHeight="1">
      <x:c r="A4" s="11" t="str">
        <x:v>PDF_003</x:v>
      </x:c>
      <x:c r="B4" s="11" t="str">
        <x:v>ARGOTE_ETAL_2025.pdf</x:v>
      </x:c>
      <x:c r="C4" s="11" t="str">
        <x:v>ARGOTE_ETAL_2025.pdf</x:v>
      </x:c>
      <x:c r="D4" s="11" t="str">
        <x:v>ROOT</x:v>
      </x:c>
      <x:c r="E4" s="11" t="str">
        <x:v>ARGOTE_ETAL</x:v>
      </x:c>
      <x:c r="F4" s="11" t="str">
        <x:v>2025</x:v>
      </x:c>
      <x:c r="G4" s="11" t="n">
        <x:v>2.35</x:v>
      </x:c>
      <x:c r="H4" s="11" t="n">
        <x:v>46147.76337962963</x:v>
      </x:c>
      <x:c r="I4" s="11" t="str">
        <x:v>G4_CHILE_LATAM_CASE_CONTEXT</x:v>
      </x:c>
      <x:c r="J4" s="11" t="str">
        <x:v>G2_TOPIC_MODELING_METHOD</x:v>
      </x:c>
      <x:c r="K4" s="11" t="str">
        <x:v>G7_VENUE_POSITIONING_PRECEDENT</x:v>
      </x:c>
      <x:c r="L4" s="11" t="str">
        <x:v>High</x:v>
      </x:c>
      <x:c r="M4" s="11" t="str">
        <x:v>GREEN</x:v>
      </x:c>
      <x:c r="N4" s="11" t="str">
        <x:v>Not Started</x:v>
      </x:c>
      <x:c r="O4" s="11" t="str">
        <x:v>NB04_Chile_LatAm_Context</x:v>
      </x:c>
      <x:c r="P4" s="11" t="str">
        <x:v>P00_UNIVERSAL_SOURCE_EXTRACTION + P04_CHILE_LATAM_CONTEXT + P02_TOPIC_MODELING_METHOD + P07_VENUE_PRECEDENT</x:v>
      </x:c>
      <x:c r="Q4" s="11" t="str">
        <x:v>[G4_CHILE_LATAM_CASE_CONTEXT] Which country/election is studied? What makes the context distinctive? Does it discuss Chile 2021, post-2019 politics, party fragmentation, LatAm platforms, or regional campaign practices?
[G2_TOPIC_MODELING_METHOD] What method is used? What corpus? What validation strategy? Topic number K if any? What preprocessing choices? Does it discuss short texts, Spanish, interpretability, or alternatives to LDA?
[G7_VENUE_POSITIONING_PRECEDENT] What journal published this? Why is it a precedent? Which side of the paper’s niche does it cover: method, object, region, or theory? Is it a competitor, complement, or legitimating precedent?</x:v>
      </x:c>
      <x:c r="R4" s="11" t="str">
        <x:v>PDF_003_ARGOTE_ETAL_2025.md</x:v>
      </x:c>
      <x:c r="S4" s="11" t="str">
        <x:v>Chile ideological persistence; topic modeling on Chilean political text</x:v>
      </x:c>
      <x:c r="T4" s="11" t="str"/>
      <x:c r="U4" s="11" t="str">
        <x:v>No</x:v>
      </x:c>
      <x:c r="V4" s="11" t="str">
        <x:v>No</x:v>
      </x:c>
      <x:c r="W4" s="11" t="str">
        <x:v>No</x:v>
      </x:c>
      <x:c r="X4" s="11" t="str"/>
    </x:row>
    <x:row r="5" ht="45" customHeight="1">
      <x:c r="A5" s="11" t="str">
        <x:v>PDF_004</x:v>
      </x:c>
      <x:c r="B5" s="11" t="str">
        <x:v>ARNAUDO_2017.pdf</x:v>
      </x:c>
      <x:c r="C5" s="11" t="str">
        <x:v>ARNAUDO_2017.pdf</x:v>
      </x:c>
      <x:c r="D5" s="11" t="str">
        <x:v>ROOT</x:v>
      </x:c>
      <x:c r="E5" s="11" t="str">
        <x:v>ARNAUDO</x:v>
      </x:c>
      <x:c r="F5" s="11" t="str">
        <x:v>2017</x:v>
      </x:c>
      <x:c r="G5" s="11" t="n">
        <x:v>2.19</x:v>
      </x:c>
      <x:c r="H5" s="11" t="n">
        <x:v>46147.76052083333</x:v>
      </x:c>
      <x:c r="I5" s="11" t="str">
        <x:v>G4_CHILE_LATAM_CASE_CONTEXT</x:v>
      </x:c>
      <x:c r="J5" s="11" t="str">
        <x:v>G3_PLATFORMIZATION_DIGITAL_POLITICS</x:v>
      </x:c>
      <x:c r="K5" s="11" t="str">
        <x:v>G5_ETHICS_MANIPULATION_RISK</x:v>
      </x:c>
      <x:c r="L5" s="11" t="str">
        <x:v>Medium</x:v>
      </x:c>
      <x:c r="M5" s="11" t="str">
        <x:v>YELLOW</x:v>
      </x:c>
      <x:c r="N5" s="11" t="str">
        <x:v>Not Started</x:v>
      </x:c>
      <x:c r="O5" s="11" t="str">
        <x:v>NB04_Chile_LatAm_Context</x:v>
      </x:c>
      <x:c r="P5" s="11" t="str">
        <x:v>P00_UNIVERSAL_SOURCE_EXTRACTION + P04_CHILE_LATAM_CONTEXT + P03_PLATFORMIZATION_DIGITAL_POLITICS + P05_ETHICS_MANIPULATION_RISK</x:v>
      </x:c>
      <x:c r="Q5" s="11" t="str">
        <x:v>[G4_CHILE_LATAM_CASE_CONTEXT] Which country/election is studied? What makes the context distinctive? Does it discuss Chile 2021, post-2019 politics, party fragmentation, LatAm platforms, or regional campaign practices?
[G3_PLATFORMIZATION_DIGITAL_POLITICS]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x:v>
      </x:c>
      <x:c r="R5" s="11" t="str">
        <x:v>PDF_004_ARNAUDO_2017.md</x:v>
      </x:c>
      <x:c r="S5" s="11" t="str">
        <x:v>Possible misinformation/platform politics in LatAm; verify exact object</x:v>
      </x:c>
      <x:c r="T5" s="11" t="str">
        <x:v>Yes - verify classification</x:v>
      </x:c>
      <x:c r="U5" s="11" t="str">
        <x:v>No</x:v>
      </x:c>
      <x:c r="V5" s="11" t="str">
        <x:v>No</x:v>
      </x:c>
      <x:c r="W5" s="11" t="str">
        <x:v>No</x:v>
      </x:c>
      <x:c r="X5" s="11" t="str"/>
    </x:row>
    <x:row r="6" ht="45" customHeight="1">
      <x:c r="A6" s="11" t="str">
        <x:v>PDF_005</x:v>
      </x:c>
      <x:c r="B6" s="11" t="str">
        <x:v>ARUGUETE_ETAL_2024.pdf</x:v>
      </x:c>
      <x:c r="C6" s="11" t="str">
        <x:v>ARUGUETE_ETAL_2024.pdf</x:v>
      </x:c>
      <x:c r="D6" s="11" t="str">
        <x:v>ROOT</x:v>
      </x:c>
      <x:c r="E6" s="11" t="str">
        <x:v>ARUGUETE_ETAL</x:v>
      </x:c>
      <x:c r="F6" s="11" t="str">
        <x:v>2024</x:v>
      </x:c>
      <x:c r="G6" s="11" t="n">
        <x:v>0.88</x:v>
      </x:c>
      <x:c r="H6" s="11" t="n">
        <x:v>46147.649189814816</x:v>
      </x:c>
      <x:c r="I6" s="11" t="str">
        <x:v>G4_CHILE_LATAM_CASE_CONTEXT</x:v>
      </x:c>
      <x:c r="J6" s="11" t="str">
        <x:v>G2_TOPIC_MODELING_METHOD</x:v>
      </x:c>
      <x:c r="K6" s="11" t="str">
        <x:v>G7_VENUE_POSITIONING_PRECEDENT</x:v>
      </x:c>
      <x:c r="L6" s="11" t="str">
        <x:v>High</x:v>
      </x:c>
      <x:c r="M6" s="11" t="str">
        <x:v>GREEN</x:v>
      </x:c>
      <x:c r="N6" s="11" t="str">
        <x:v>Not Started</x:v>
      </x:c>
      <x:c r="O6" s="11" t="str">
        <x:v>NB04_Chile_LatAm_Context</x:v>
      </x:c>
      <x:c r="P6" s="11" t="str">
        <x:v>P00_UNIVERSAL_SOURCE_EXTRACTION + P04_CHILE_LATAM_CONTEXT + P02_TOPIC_MODELING_METHOD + P07_VENUE_PRECEDENT</x:v>
      </x:c>
      <x:c r="Q6" s="11" t="str">
        <x:v>[G4_CHILE_LATAM_CASE_CONTEXT] Which country/election is studied? What makes the context distinctive? Does it discuss Chile 2021, post-2019 politics, party fragmentation, LatAm platforms, or regional campaign practices?
[G2_TOPIC_MODELING_METHOD] What method is used? What corpus? What validation strategy? Topic number K if any? What preprocessing choices? Does it discuss short texts, Spanish, interpretability, or alternatives to LDA?
[G7_VENUE_POSITIONING_PRECEDENT] What journal published this? Why is it a precedent? Which side of the paper’s niche does it cover: method, object, region, or theory? Is it a competitor, complement, or legitimating precedent?</x:v>
      </x:c>
      <x:c r="R6" s="11" t="str">
        <x:v>PDF_005_ARUGUETE_ETAL_2024.md</x:v>
      </x:c>
      <x:c r="S6" s="11" t="str">
        <x:v>Political Communication Chile mayors STM; closest Chile computational precedent</x:v>
      </x:c>
      <x:c r="T6" s="11" t="str"/>
      <x:c r="U6" s="11" t="str">
        <x:v>No</x:v>
      </x:c>
      <x:c r="V6" s="11" t="str">
        <x:v>No</x:v>
      </x:c>
      <x:c r="W6" s="11" t="str">
        <x:v>No</x:v>
      </x:c>
      <x:c r="X6" s="11" t="str"/>
    </x:row>
    <x:row r="7" ht="45" customHeight="1">
      <x:c r="A7" s="11" t="str">
        <x:v>PDF_006</x:v>
      </x:c>
      <x:c r="B7" s="11" t="str">
        <x:v>BOSSETTA_2020.pdf</x:v>
      </x:c>
      <x:c r="C7" s="11" t="str">
        <x:v>BOSSETTA_2020.pdf</x:v>
      </x:c>
      <x:c r="D7" s="11" t="str">
        <x:v>ROOT</x:v>
      </x:c>
      <x:c r="E7" s="11" t="str">
        <x:v>BOSSETTA</x:v>
      </x:c>
      <x:c r="F7" s="11" t="str">
        <x:v>2020</x:v>
      </x:c>
      <x:c r="G7" s="11" t="n">
        <x:v>0.13</x:v>
      </x:c>
      <x:c r="H7" s="11" t="n">
        <x:v>46147.74864583334</x:v>
      </x:c>
      <x:c r="I7" s="11" t="str">
        <x:v>G1_PAID_ADS_OBJECT</x:v>
      </x:c>
      <x:c r="J7" s="11" t="str">
        <x:v>G3_PLATFORMIZATION_DIGITAL_POLITICS</x:v>
      </x:c>
      <x:c r="K7" s="11" t="str">
        <x:v>G5_ETHICS_MANIPULATION_RISK</x:v>
      </x:c>
      <x:c r="L7" s="11" t="str">
        <x:v>High</x:v>
      </x:c>
      <x:c r="M7" s="11" t="str">
        <x:v>GREEN</x:v>
      </x:c>
      <x:c r="N7" s="11" t="str">
        <x:v>Not Started</x:v>
      </x:c>
      <x:c r="O7" s="11" t="str">
        <x:v>NB01_Paid_Digital_Ads</x:v>
      </x:c>
      <x:c r="P7" s="11" t="str">
        <x:v>P00_UNIVERSAL_SOURCE_EXTRACTION + P01_PAID_ADS_OBJECT + P03_PLATFORMIZATION_DIGITAL_POLITICS + P05_ETHICS_MANIPULATION_RISK</x:v>
      </x:c>
      <x:c r="Q7" s="11" t="str">
        <x:v>[G1_PAID_ADS_OBJECT] Does the source study paid ads or organic posts? What platform? What targeting mechanism? What does it say about ad visibility, disclosure, persuasion, segmentation, or audience control?
[G3_PLATFORMIZATION_DIGITAL_POLITICS]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x:v>
      </x:c>
      <x:c r="R7" s="11" t="str">
        <x:v>PDF_006_BOSSETTA_2020.md</x:v>
      </x:c>
      <x:c r="S7" s="11" t="str">
        <x:v>Platform scandal/design and campaign infrastructure</x:v>
      </x:c>
      <x:c r="T7" s="11" t="str"/>
      <x:c r="U7" s="11" t="str">
        <x:v>No</x:v>
      </x:c>
      <x:c r="V7" s="11" t="str">
        <x:v>No</x:v>
      </x:c>
      <x:c r="W7" s="11" t="str">
        <x:v>No</x:v>
      </x:c>
      <x:c r="X7" s="11" t="str"/>
    </x:row>
    <x:row r="8" ht="45" customHeight="1">
      <x:c r="A8" s="11" t="str">
        <x:v>PDF_007</x:v>
      </x:c>
      <x:c r="B8" s="11" t="str">
        <x:v>BOULIANNE_ETAL_2024.pdf</x:v>
      </x:c>
      <x:c r="C8" s="11" t="str">
        <x:v>BOULIANNE_ETAL_2024.pdf</x:v>
      </x:c>
      <x:c r="D8" s="11" t="str">
        <x:v>ROOT</x:v>
      </x:c>
      <x:c r="E8" s="11" t="str">
        <x:v>BOULIANNE_ETAL</x:v>
      </x:c>
      <x:c r="F8" s="11" t="str">
        <x:v>2024</x:v>
      </x:c>
      <x:c r="G8" s="11" t="n">
        <x:v>0.48</x:v>
      </x:c>
      <x:c r="H8" s="11" t="n">
        <x:v>46147.71289351852</x:v>
      </x:c>
      <x:c r="I8" s="11" t="str">
        <x:v>G3_PLATFORMIZATION_DIGITAL_POLITICS</x:v>
      </x:c>
      <x:c r="J8" s="11" t="str">
        <x:v>G5_ETHICS_MANIPULATION_RISK</x:v>
      </x:c>
      <x:c r="K8" s="11" t="str"/>
      <x:c r="L8" s="11" t="str">
        <x:v>Medium</x:v>
      </x:c>
      <x:c r="M8" s="11" t="str">
        <x:v>YELLOW</x:v>
      </x:c>
      <x:c r="N8" s="11" t="str">
        <x:v>Not Started</x:v>
      </x:c>
      <x:c r="O8" s="11" t="str">
        <x:v>NB03_Platformization_Digital_Politics</x:v>
      </x:c>
      <x:c r="P8" s="11" t="str">
        <x:v>P00_UNIVERSAL_SOURCE_EXTRACTION + P03_PLATFORMIZATION_DIGITAL_POLITICS + P05_ETHICS_MANIPULATION_RISK</x:v>
      </x:c>
      <x:c r="Q8" s="11" t="str">
        <x:v>[G3_PLATFORMIZATION_DIGITAL_POLITICS]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x:v>
      </x:c>
      <x:c r="R8" s="11" t="str">
        <x:v>PDF_007_BOULIANNE_ETAL_2024.md</x:v>
      </x:c>
      <x:c r="S8" s="11" t="str">
        <x:v>Cross-platform politics / public opinion; contextual</x:v>
      </x:c>
      <x:c r="T8" s="11" t="str">
        <x:v>Yes - verify classification</x:v>
      </x:c>
      <x:c r="U8" s="11" t="str">
        <x:v>No</x:v>
      </x:c>
      <x:c r="V8" s="11" t="str">
        <x:v>No</x:v>
      </x:c>
      <x:c r="W8" s="11" t="str">
        <x:v>No</x:v>
      </x:c>
      <x:c r="X8" s="11" t="str"/>
    </x:row>
    <x:row r="9" ht="45" customHeight="1">
      <x:c r="A9" s="11" t="str">
        <x:v>PDF_008</x:v>
      </x:c>
      <x:c r="B9" s="11" t="str">
        <x:v>CALVO_ETAL_2021.pdf</x:v>
      </x:c>
      <x:c r="C9" s="11" t="str">
        <x:v>CALVO_ETAL_2021.pdf</x:v>
      </x:c>
      <x:c r="D9" s="11" t="str">
        <x:v>ROOT</x:v>
      </x:c>
      <x:c r="E9" s="11" t="str">
        <x:v>CALVO_ETAL</x:v>
      </x:c>
      <x:c r="F9" s="11" t="str">
        <x:v>2021</x:v>
      </x:c>
      <x:c r="G9" s="11" t="n">
        <x:v>3.32</x:v>
      </x:c>
      <x:c r="H9" s="11" t="n">
        <x:v>46147.766168981485</x:v>
      </x:c>
      <x:c r="I9" s="11" t="str">
        <x:v>G4_CHILE_LATAM_CASE_CONTEXT</x:v>
      </x:c>
      <x:c r="J9" s="11" t="str">
        <x:v>G3_PLATFORMIZATION_DIGITAL_POLITICS</x:v>
      </x:c>
      <x:c r="K9" s="11" t="str">
        <x:v>G5_ETHICS_MANIPULATION_RISK</x:v>
      </x:c>
      <x:c r="L9" s="11" t="str">
        <x:v>Medium</x:v>
      </x:c>
      <x:c r="M9" s="11" t="str">
        <x:v>YELLOW</x:v>
      </x:c>
      <x:c r="N9" s="11" t="str">
        <x:v>Not Started</x:v>
      </x:c>
      <x:c r="O9" s="11" t="str">
        <x:v>NB04_Chile_LatAm_Context</x:v>
      </x:c>
      <x:c r="P9" s="11" t="str">
        <x:v>P00_UNIVERSAL_SOURCE_EXTRACTION + P04_CHILE_LATAM_CONTEXT + P03_PLATFORMIZATION_DIGITAL_POLITICS + P05_ETHICS_MANIPULATION_RISK</x:v>
      </x:c>
      <x:c r="Q9" s="11" t="str">
        <x:v>[G4_CHILE_LATAM_CASE_CONTEXT] Which country/election is studied? What makes the context distinctive? Does it discuss Chile 2021, post-2019 politics, party fragmentation, LatAm platforms, or regional campaign practices?
[G3_PLATFORMIZATION_DIGITAL_POLITICS]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x:v>
      </x:c>
      <x:c r="R9" s="11" t="str">
        <x:v>PDF_008_CALVO_ETAL_2021.md</x:v>
      </x:c>
      <x:c r="S9" s="11" t="str">
        <x:v>LatAm digital politics / polarization; verify case</x:v>
      </x:c>
      <x:c r="T9" s="11" t="str">
        <x:v>Yes - verify classification</x:v>
      </x:c>
      <x:c r="U9" s="11" t="str">
        <x:v>No</x:v>
      </x:c>
      <x:c r="V9" s="11" t="str">
        <x:v>No</x:v>
      </x:c>
      <x:c r="W9" s="11" t="str">
        <x:v>No</x:v>
      </x:c>
      <x:c r="X9" s="11" t="str"/>
    </x:row>
    <x:row r="10" ht="45" customHeight="1">
      <x:c r="A10" s="11" t="str">
        <x:v>PDF_009</x:v>
      </x:c>
      <x:c r="B10" s="11" t="str">
        <x:v>CARTER_ETAL_2023.pdf</x:v>
      </x:c>
      <x:c r="C10" s="11" t="str">
        <x:v>CARTER_ETAL_2023.pdf</x:v>
      </x:c>
      <x:c r="D10" s="11" t="str">
        <x:v>ROOT</x:v>
      </x:c>
      <x:c r="E10" s="11" t="str">
        <x:v>CARTER_ETAL</x:v>
      </x:c>
      <x:c r="F10" s="11" t="str">
        <x:v>2023</x:v>
      </x:c>
      <x:c r="G10" s="11" t="n">
        <x:v>0.48</x:v>
      </x:c>
      <x:c r="H10" s="11" t="n">
        <x:v>46147.6940625</x:v>
      </x:c>
      <x:c r="I10" s="11" t="str">
        <x:v>G2_TOPIC_MODELING_METHOD</x:v>
      </x:c>
      <x:c r="J10" s="11" t="str">
        <x:v>G3_PLATFORMIZATION_DIGITAL_POLITICS</x:v>
      </x:c>
      <x:c r="K10" s="11" t="str"/>
      <x:c r="L10" s="11" t="str">
        <x:v>Medium</x:v>
      </x:c>
      <x:c r="M10" s="11" t="str">
        <x:v>YELLOW</x:v>
      </x:c>
      <x:c r="N10" s="11" t="str">
        <x:v>Not Started</x:v>
      </x:c>
      <x:c r="O10" s="11" t="str">
        <x:v>NB02_Topic_Modeling_Methods</x:v>
      </x:c>
      <x:c r="P10" s="11" t="str">
        <x:v>P00_UNIVERSAL_SOURCE_EXTRACTION + P02_TOPIC_MODELING_METHOD + P03_PLATFORMIZATION_DIGITAL_POLITICS</x:v>
      </x:c>
      <x:c r="Q10" s="11" t="str">
        <x:v>[G2_TOPIC_MODELING_METHOD] What method is used? What corpus? What validation strategy? Topic number K if any? What preprocessing choices? Does it discuss short texts, Spanish, interpretability, or alternatives to LDA?
[G3_PLATFORMIZATION_DIGITAL_POLITICS] How does the source define digitalization/platformization? What mechanisms are named? Does it treat platforms as passive channels or active infrastructures? Is the pattern global, local, or comparative?</x:v>
      </x:c>
      <x:c r="R10" s="11" t="str">
        <x:v>PDF_009_CARTER_ETAL_2023.md</x:v>
      </x:c>
      <x:c r="S10" s="11" t="str">
        <x:v>LDA/Semantic network method precedent outside politics; verify relevance</x:v>
      </x:c>
      <x:c r="T10" s="11" t="str">
        <x:v>Yes - verify classification</x:v>
      </x:c>
      <x:c r="U10" s="11" t="str">
        <x:v>No</x:v>
      </x:c>
      <x:c r="V10" s="11" t="str">
        <x:v>No</x:v>
      </x:c>
      <x:c r="W10" s="11" t="str">
        <x:v>No</x:v>
      </x:c>
      <x:c r="X10" s="11" t="str"/>
    </x:row>
    <x:row r="11" ht="45" customHeight="1">
      <x:c r="A11" s="11" t="str">
        <x:v>PDF_010</x:v>
      </x:c>
      <x:c r="B11" s="11" t="str">
        <x:v>CAZZAMATTA_ETAL_2024.pdf</x:v>
      </x:c>
      <x:c r="C11" s="11" t="str">
        <x:v>CAZZAMATTA_ETAL_2024.pdf</x:v>
      </x:c>
      <x:c r="D11" s="11" t="str">
        <x:v>ROOT</x:v>
      </x:c>
      <x:c r="E11" s="11" t="str">
        <x:v>CAZZAMATTA_ETAL</x:v>
      </x:c>
      <x:c r="F11" s="11" t="str">
        <x:v>2024</x:v>
      </x:c>
      <x:c r="G11" s="11" t="n">
        <x:v>0.71</x:v>
      </x:c>
      <x:c r="H11" s="11" t="n">
        <x:v>46147.75255787037</x:v>
      </x:c>
      <x:c r="I11" s="11" t="str">
        <x:v>G4_CHILE_LATAM_CASE_CONTEXT</x:v>
      </x:c>
      <x:c r="J11" s="11" t="str">
        <x:v>G5_ETHICS_MANIPULATION_RISK</x:v>
      </x:c>
      <x:c r="K11" s="11" t="str">
        <x:v>G7_VENUE_POSITIONING_PRECEDENT</x:v>
      </x:c>
      <x:c r="L11" s="11" t="str">
        <x:v>Medium</x:v>
      </x:c>
      <x:c r="M11" s="11" t="str">
        <x:v>GREEN</x:v>
      </x:c>
      <x:c r="N11" s="11" t="str">
        <x:v>Not Started</x:v>
      </x:c>
      <x:c r="O11" s="11" t="str">
        <x:v>NB04_Chile_LatAm_Context</x:v>
      </x:c>
      <x:c r="P11" s="11" t="str">
        <x:v>P00_UNIVERSAL_SOURCE_EXTRACTION + P04_CHILE_LATAM_CONTEXT + P05_ETHICS_MANIPULATION_RISK + P07_VENUE_PRECEDENT</x:v>
      </x:c>
      <x:c r="Q11" s="11" t="str">
        <x:v>[G4_CHILE_LATAM_CASE_CONTEXT] Which country/election is studied? What makes the context distinctive? Does it discuss Chile 2021, post-2019 politics, party fragmentation, LatAm platforms, or regional campaign practices?
[G5_ETHICS_MANIPULATION_RISK] What democratic risk is identified? Is the concern manipulation, privacy, polarization, misinformation, opacity, unequal exposure, or persuasion? Does the source distinguish fear from evidence?
[G7_VENUE_POSITIONING_PRECEDENT] What journal published this? Why is it a precedent? Which side of the paper’s niche does it cover: method, object, region, or theory? Is it a competitor, complement, or legitimating precedent?</x:v>
      </x:c>
      <x:c r="R11" s="11" t="str">
        <x:v>PDF_010_CAZZAMATTA_ETAL_2024.md</x:v>
      </x:c>
      <x:c r="S11" s="11" t="str">
        <x:v>Brazil electoral-system disinformation; LatAm comparator</x:v>
      </x:c>
      <x:c r="T11" s="11" t="str"/>
      <x:c r="U11" s="11" t="str">
        <x:v>No</x:v>
      </x:c>
      <x:c r="V11" s="11" t="str">
        <x:v>No</x:v>
      </x:c>
      <x:c r="W11" s="11" t="str">
        <x:v>No</x:v>
      </x:c>
      <x:c r="X11" s="11" t="str"/>
    </x:row>
    <x:row r="12" ht="45" customHeight="1">
      <x:c r="A12" s="11" t="str">
        <x:v>PDF_011</x:v>
      </x:c>
      <x:c r="B12" s="11" t="str">
        <x:v>CHAGAS_2022.pdf</x:v>
      </x:c>
      <x:c r="C12" s="11" t="str">
        <x:v>CHAGAS_2022.pdf</x:v>
      </x:c>
      <x:c r="D12" s="11" t="str">
        <x:v>ROOT</x:v>
      </x:c>
      <x:c r="E12" s="11" t="str">
        <x:v>CHAGAS</x:v>
      </x:c>
      <x:c r="F12" s="11" t="str">
        <x:v>2022</x:v>
      </x:c>
      <x:c r="G12" s="11" t="n">
        <x:v>6.49</x:v>
      </x:c>
      <x:c r="H12" s="11" t="n">
        <x:v>46147.754108796296</x:v>
      </x:c>
      <x:c r="I12" s="11" t="str">
        <x:v>G4_CHILE_LATAM_CASE_CONTEXT</x:v>
      </x:c>
      <x:c r="J12" s="11" t="str">
        <x:v>G3_PLATFORMIZATION_DIGITAL_POLITICS</x:v>
      </x:c>
      <x:c r="K12" s="11" t="str">
        <x:v>G5_ETHICS_MANIPULATION_RISK</x:v>
      </x:c>
      <x:c r="L12" s="11" t="str">
        <x:v>High</x:v>
      </x:c>
      <x:c r="M12" s="11" t="str">
        <x:v>GREEN</x:v>
      </x:c>
      <x:c r="N12" s="11" t="str">
        <x:v>Not Started</x:v>
      </x:c>
      <x:c r="O12" s="11" t="str">
        <x:v>NB04_Chile_LatAm_Context</x:v>
      </x:c>
      <x:c r="P12" s="11" t="str">
        <x:v>P00_UNIVERSAL_SOURCE_EXTRACTION + P04_CHILE_LATAM_CONTEXT + P03_PLATFORMIZATION_DIGITAL_POLITICS + P05_ETHICS_MANIPULATION_RISK</x:v>
      </x:c>
      <x:c r="Q12" s="11" t="str">
        <x:v>[G4_CHILE_LATAM_CASE_CONTEXT] Which country/election is studied? What makes the context distinctive? Does it discuss Chile 2021, post-2019 politics, party fragmentation, LatAm platforms, or regional campaign practices?
[G3_PLATFORMIZATION_DIGITAL_POLITICS]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x:v>
      </x:c>
      <x:c r="R12" s="11" t="str">
        <x:v>PDF_011_CHAGAS_2022.md</x:v>
      </x:c>
      <x:c r="S12" s="11" t="str">
        <x:v>Brazil WhatsApp / digital astroturfing precedent</x:v>
      </x:c>
      <x:c r="T12" s="11" t="str"/>
      <x:c r="U12" s="11" t="str">
        <x:v>No</x:v>
      </x:c>
      <x:c r="V12" s="11" t="str">
        <x:v>No</x:v>
      </x:c>
      <x:c r="W12" s="11" t="str">
        <x:v>No</x:v>
      </x:c>
      <x:c r="X12" s="11" t="str"/>
    </x:row>
    <x:row r="13" ht="45" customHeight="1">
      <x:c r="A13" s="11" t="str">
        <x:v>PDF_012</x:v>
      </x:c>
      <x:c r="B13" s="11" t="str">
        <x:v>DICOCCO_ETAL_2022.pdf</x:v>
      </x:c>
      <x:c r="C13" s="11" t="str">
        <x:v>DICOCCO_ETAL_2022.pdf</x:v>
      </x:c>
      <x:c r="D13" s="11" t="str">
        <x:v>ROOT</x:v>
      </x:c>
      <x:c r="E13" s="11" t="str">
        <x:v>DICOCCO_ETAL</x:v>
      </x:c>
      <x:c r="F13" s="11" t="str">
        <x:v>2022</x:v>
      </x:c>
      <x:c r="G13" s="11" t="n">
        <x:v>1.24</x:v>
      </x:c>
      <x:c r="H13" s="11" t="n">
        <x:v>46147.70266203704</x:v>
      </x:c>
      <x:c r="I13" s="11" t="str">
        <x:v>G2_TOPIC_MODELING_METHOD</x:v>
      </x:c>
      <x:c r="J13" s="11" t="str">
        <x:v>G5_ETHICS_MANIPULATION_RISK</x:v>
      </x:c>
      <x:c r="K13" s="11" t="str"/>
      <x:c r="L13" s="11" t="str">
        <x:v>Medium</x:v>
      </x:c>
      <x:c r="M13" s="11" t="str">
        <x:v>YELLOW</x:v>
      </x:c>
      <x:c r="N13" s="11" t="str">
        <x:v>Not Started</x:v>
      </x:c>
      <x:c r="O13" s="11" t="str">
        <x:v>NB02_Topic_Modeling_Methods</x:v>
      </x:c>
      <x:c r="P13" s="11" t="str">
        <x:v>P00_UNIVERSAL_SOURCE_EXTRACTION + P02_TOPIC_MODELING_METHOD + P05_ETHICS_MANIPULATION_RISK</x:v>
      </x:c>
      <x:c r="Q13" s="11" t="str">
        <x:v>[G2_TOPIC_MODELING_METHOD] What method is used? What corpus? What validation strategy? Topic number K if any? What preprocessing choices? Does it discuss short texts, Spanish, interpretability, or alternatives to LDA?
[G5_ETHICS_MANIPULATION_RISK] What democratic risk is identified? Is the concern manipulation, privacy, polarization, misinformation, opacity, unequal exposure, or persuasion? Does the source distinguish fear from evidence?</x:v>
      </x:c>
      <x:c r="R13" s="11" t="str">
        <x:v>PDF_012_DICOCCO_ETAL_2022.md</x:v>
      </x:c>
      <x:c r="S13" s="11" t="str">
        <x:v>Populism measurement / supervised ML; method alternative</x:v>
      </x:c>
      <x:c r="T13" s="11" t="str">
        <x:v>Yes - verify classification</x:v>
      </x:c>
      <x:c r="U13" s="11" t="str">
        <x:v>No</x:v>
      </x:c>
      <x:c r="V13" s="11" t="str">
        <x:v>No</x:v>
      </x:c>
      <x:c r="W13" s="11" t="str">
        <x:v>No</x:v>
      </x:c>
      <x:c r="X13" s="11" t="str"/>
    </x:row>
    <x:row r="14" ht="45" customHeight="1">
      <x:c r="A14" s="11" t="str">
        <x:v>PDF_013</x:v>
      </x:c>
      <x:c r="B14" s="11" t="str">
        <x:v>DOBBER_ETAL_2020.pdf</x:v>
      </x:c>
      <x:c r="C14" s="11" t="str">
        <x:v>DOBBER_ETAL_2020.pdf</x:v>
      </x:c>
      <x:c r="D14" s="11" t="str">
        <x:v>ROOT</x:v>
      </x:c>
      <x:c r="E14" s="11" t="str">
        <x:v>DOBBER_ETAL</x:v>
      </x:c>
      <x:c r="F14" s="11" t="str">
        <x:v>2020</x:v>
      </x:c>
      <x:c r="G14" s="11" t="n">
        <x:v>0.33</x:v>
      </x:c>
      <x:c r="H14" s="11" t="n">
        <x:v>46147.772673611114</x:v>
      </x:c>
      <x:c r="I14" s="11" t="str">
        <x:v>G5_ETHICS_MANIPULATION_RISK</x:v>
      </x:c>
      <x:c r="J14" s="11" t="str">
        <x:v>G1_PAID_ADS_OBJECT</x:v>
      </x:c>
      <x:c r="K14" s="11" t="str">
        <x:v>G7_VENUE_POSITIONING_PRECEDENT</x:v>
      </x:c>
      <x:c r="L14" s="11" t="str">
        <x:v>High</x:v>
      </x:c>
      <x:c r="M14" s="11" t="str">
        <x:v>GREEN</x:v>
      </x:c>
      <x:c r="N14" s="11" t="str">
        <x:v>Not Started</x:v>
      </x:c>
      <x:c r="O14" s="11" t="str">
        <x:v>NB05_Ethics_Manipulation_Risk</x:v>
      </x:c>
      <x:c r="P14" s="11" t="str">
        <x:v>P00_UNIVERSAL_SOURCE_EXTRACTION + P05_ETHICS_MANIPULATION_RISK + P01_PAID_ADS_OBJECT + P07_VENUE_PRECEDENT</x:v>
      </x:c>
      <x:c r="Q14" s="11" t="str">
        <x:v>[G5_ETHICS_MANIPULATION_RISK] What democratic risk is identified? Is the concern manipulation, privacy, polarization, misinformation, opacity, unequal exposure, or persuasion? Does the source distinguish fear from evidence?
[G1_PAID_ADS_OBJECT] Does the source study paid ads or organic posts? What platform? What targeting mechanism? What does it say about ad visibility, disclosure, persuasion, segmentation, or audience control?
[G7_VENUE_POSITIONING_PRECEDENT] What journal published this? Why is it a precedent? Which side of the paper’s niche does it cover: method, object, region, or theory? Is it a competitor, complement, or legitimating precedent?</x:v>
      </x:c>
      <x:c r="R14" s="11" t="str">
        <x:v>PDF_013_DOBBER_ETAL_2020.md</x:v>
      </x:c>
      <x:c r="S14" s="11" t="str">
        <x:v>Microtargeting/deepfake effects and democratic risk</x:v>
      </x:c>
      <x:c r="T14" s="11" t="str"/>
      <x:c r="U14" s="11" t="str">
        <x:v>No</x:v>
      </x:c>
      <x:c r="V14" s="11" t="str">
        <x:v>No</x:v>
      </x:c>
      <x:c r="W14" s="11" t="str">
        <x:v>No</x:v>
      </x:c>
      <x:c r="X14" s="11" t="str"/>
    </x:row>
    <x:row r="15" ht="45" customHeight="1">
      <x:c r="A15" s="11" t="str">
        <x:v>PDF_014</x:v>
      </x:c>
      <x:c r="B15" s="11" t="str">
        <x:v>DOURADO_ETAL_2024.pdf</x:v>
      </x:c>
      <x:c r="C15" s="11" t="str">
        <x:v>DOURADO_ETAL_2024.pdf</x:v>
      </x:c>
      <x:c r="D15" s="11" t="str">
        <x:v>ROOT</x:v>
      </x:c>
      <x:c r="E15" s="11" t="str">
        <x:v>DOURADO_ETAL</x:v>
      </x:c>
      <x:c r="F15" s="11" t="str">
        <x:v>2024</x:v>
      </x:c>
      <x:c r="G15" s="11" t="n">
        <x:v>0.29</x:v>
      </x:c>
      <x:c r="H15" s="11" t="n">
        <x:v>46147.75497685185</x:v>
      </x:c>
      <x:c r="I15" s="11" t="str">
        <x:v>G4_CHILE_LATAM_CASE_CONTEXT</x:v>
      </x:c>
      <x:c r="J15" s="11" t="str">
        <x:v>G5_ETHICS_MANIPULATION_RISK</x:v>
      </x:c>
      <x:c r="K15" s="11" t="str">
        <x:v>G3_PLATFORMIZATION_DIGITAL_POLITICS</x:v>
      </x:c>
      <x:c r="L15" s="11" t="str">
        <x:v>Medium</x:v>
      </x:c>
      <x:c r="M15" s="11" t="str">
        <x:v>GREEN</x:v>
      </x:c>
      <x:c r="N15" s="11" t="str">
        <x:v>Not Started</x:v>
      </x:c>
      <x:c r="O15" s="11" t="str">
        <x:v>NB04_Chile_LatAm_Context</x:v>
      </x:c>
      <x:c r="P15" s="11" t="str">
        <x:v>P00_UNIVERSAL_SOURCE_EXTRACTION + P04_CHILE_LATAM_CONTEXT + P05_ETHICS_MANIPULATION_RISK + P03_PLATFORMIZATION_DIGITAL_POLITICS</x:v>
      </x:c>
      <x:c r="Q15" s="11" t="str">
        <x:v>[G4_CHILE_LATAM_CASE_CONTEXT] Which country/election is studied? What makes the context distinctive? Does it discuss Chile 2021, post-2019 politics, party fragmentation, LatAm platforms, or regional campaign practices?
[G5_ETHICS_MANIPULATION_RISK] What democratic risk is identified? Is the concern manipulation, privacy, polarization, misinformation, opacity, unequal exposure, or persuasion? Does the source distinguish fear from evidence?
[G3_PLATFORMIZATION_DIGITAL_POLITICS] How does the source define digitalization/platformization? What mechanisms are named? Does it treat platforms as passive channels or active infrastructures? Is the pattern global, local, or comparative?</x:v>
      </x:c>
      <x:c r="R15" s="11" t="str">
        <x:v>PDF_014_DOURADO_ETAL_2024.md</x:v>
      </x:c>
      <x:c r="S15" s="11" t="str">
        <x:v>Brazil disinformation / platform politics; LatAm comparator</x:v>
      </x:c>
      <x:c r="T15" s="11" t="str"/>
      <x:c r="U15" s="11" t="str">
        <x:v>No</x:v>
      </x:c>
      <x:c r="V15" s="11" t="str">
        <x:v>No</x:v>
      </x:c>
      <x:c r="W15" s="11" t="str">
        <x:v>No</x:v>
      </x:c>
      <x:c r="X15" s="11" t="str"/>
    </x:row>
    <x:row r="16" ht="45" customHeight="1">
      <x:c r="A16" s="11" t="str">
        <x:v>PDF_015</x:v>
      </x:c>
      <x:c r="B16" s="11" t="str">
        <x:v>EBSCO-Metadata-05_05_2026.pdf</x:v>
      </x:c>
      <x:c r="C16" s="11" t="str">
        <x:v>EBSCO-Metadata-05_05_2026.pdf</x:v>
      </x:c>
      <x:c r="D16" s="11" t="str">
        <x:v>ROOT</x:v>
      </x:c>
      <x:c r="E16" s="11" t="str">
        <x:v>EBSCO-Metadata-05_05</x:v>
      </x:c>
      <x:c r="F16" s="11" t="str">
        <x:v>2026</x:v>
      </x:c>
      <x:c r="G16" s="11" t="n">
        <x:v>0.05</x:v>
      </x:c>
      <x:c r="H16" s="11" t="n">
        <x:v>46147.7656712963</x:v>
      </x:c>
      <x:c r="I16" s="11" t="str">
        <x:v>AUX_METADATA_OR_FRONTMATTER</x:v>
      </x:c>
      <x:c r="J16" s="11" t="str"/>
      <x:c r="K16" s="11" t="str"/>
      <x:c r="L16" s="11" t="str">
        <x:v>Low</x:v>
      </x:c>
      <x:c r="M16" s="11" t="str">
        <x:v>GREEN</x:v>
      </x:c>
      <x:c r="N16" s="11" t="str">
        <x:v>Not Started</x:v>
      </x:c>
      <x:c r="O16" s="11" t="str">
        <x:v>NB00_Metadata_Only</x:v>
      </x:c>
      <x:c r="P16" s="11" t="str">
        <x:v>P00_UNIVERSAL_SOURCE_EXTRACTION</x:v>
      </x:c>
      <x:c r="Q16" s="11" t="str">
        <x:v>[AUX_METADATA_OR_FRONTMATTER] Do not run full extraction. Record bibliographic utility only: title, editors, book/journal container, chapter list, page range if available.</x:v>
      </x:c>
      <x:c r="R16" s="11" t="str">
        <x:v>PDF_015_EBSCO-Metadata-05_05_2026.md</x:v>
      </x:c>
      <x:c r="S16" s="11" t="str">
        <x:v>Metadata/front matter; record only bibliographic utility unless Diego requests full extraction</x:v>
      </x:c>
      <x:c r="T16" s="11" t="str"/>
      <x:c r="U16" s="11" t="str">
        <x:v>No</x:v>
      </x:c>
      <x:c r="V16" s="11" t="str">
        <x:v>No</x:v>
      </x:c>
      <x:c r="W16" s="11" t="str">
        <x:v>No</x:v>
      </x:c>
      <x:c r="X16" s="11" t="str"/>
    </x:row>
    <x:row r="17" ht="45" customHeight="1">
      <x:c r="A17" s="11" t="str">
        <x:v>PDF_016</x:v>
      </x:c>
      <x:c r="B17" s="11" t="str">
        <x:v>GAMBOA_ETAL_2024.pdf</x:v>
      </x:c>
      <x:c r="C17" s="11" t="str">
        <x:v>GAMBOA_ETAL_2024.pdf</x:v>
      </x:c>
      <x:c r="D17" s="11" t="str">
        <x:v>ROOT</x:v>
      </x:c>
      <x:c r="E17" s="11" t="str">
        <x:v>GAMBOA_ETAL</x:v>
      </x:c>
      <x:c r="F17" s="11" t="str">
        <x:v>2024</x:v>
      </x:c>
      <x:c r="G17" s="11" t="n">
        <x:v>3.9</x:v>
      </x:c>
      <x:c r="H17" s="11" t="n">
        <x:v>46147.763125</x:v>
      </x:c>
      <x:c r="I17" s="11" t="str">
        <x:v>G4_CHILE_LATAM_CASE_CONTEXT</x:v>
      </x:c>
      <x:c r="J17" s="11" t="str">
        <x:v>G3_PLATFORMIZATION_DIGITAL_POLITICS</x:v>
      </x:c>
      <x:c r="K17" s="11" t="str"/>
      <x:c r="L17" s="11" t="str">
        <x:v>Review</x:v>
      </x:c>
      <x:c r="M17" s="11" t="str">
        <x:v>YELLOW</x:v>
      </x:c>
      <x:c r="N17" s="11" t="str">
        <x:v>Not Started</x:v>
      </x:c>
      <x:c r="O17" s="11" t="str">
        <x:v>NB04_Chile_LatAm_Context</x:v>
      </x:c>
      <x:c r="P17" s="11" t="str">
        <x:v>P00_UNIVERSAL_SOURCE_EXTRACTION + P04_CHILE_LATAM_CONTEXT + P03_PLATFORMIZATION_DIGITAL_POLITICS</x:v>
      </x:c>
      <x:c r="Q17" s="11" t="str">
        <x:v>[G4_CHILE_LATAM_CASE_CONTEXT] Which country/election is studied? What makes the context distinctive? Does it discuss Chile 2021, post-2019 politics, party fragmentation, LatAm platforms, or regional campaign practices?
[G3_PLATFORMIZATION_DIGITAL_POLITICS] How does the source define digitalization/platformization? What mechanisms are named? Does it treat platforms as passive channels or active infrastructures? Is the pattern global, local, or comparative?</x:v>
      </x:c>
      <x:c r="R17" s="11" t="str">
        <x:v>PDF_016_GAMBOA_ETAL_2024.md</x:v>
      </x:c>
      <x:c r="S17" s="11" t="str">
        <x:v>LatAm/Chile political context; verify exact object</x:v>
      </x:c>
      <x:c r="T17" s="11" t="str">
        <x:v>Yes - verify classification</x:v>
      </x:c>
      <x:c r="U17" s="11" t="str">
        <x:v>No</x:v>
      </x:c>
      <x:c r="V17" s="11" t="str">
        <x:v>No</x:v>
      </x:c>
      <x:c r="W17" s="11" t="str">
        <x:v>No</x:v>
      </x:c>
      <x:c r="X17" s="11" t="str"/>
    </x:row>
    <x:row r="18" ht="45" customHeight="1">
      <x:c r="A18" s="11" t="str">
        <x:v>PDF_017</x:v>
      </x:c>
      <x:c r="B18" s="11" t="str">
        <x:v>GIL-DE-ZUNIGA_ETAL_2020.pdf</x:v>
      </x:c>
      <x:c r="C18" s="11" t="str">
        <x:v>GIL-DE-ZUNIGA_ETAL_2020.pdf</x:v>
      </x:c>
      <x:c r="D18" s="11" t="str">
        <x:v>ROOT</x:v>
      </x:c>
      <x:c r="E18" s="11" t="str">
        <x:v>GIL-DE-ZUNIGA_ETAL</x:v>
      </x:c>
      <x:c r="F18" s="11" t="str">
        <x:v>2020</x:v>
      </x:c>
      <x:c r="G18" s="11" t="n">
        <x:v>0.18</x:v>
      </x:c>
      <x:c r="H18" s="11" t="n">
        <x:v>46147.71193287037</x:v>
      </x:c>
      <x:c r="I18" s="11" t="str">
        <x:v>G3_PLATFORMIZATION_DIGITAL_POLITICS</x:v>
      </x:c>
      <x:c r="J18" s="11" t="str">
        <x:v>G5_ETHICS_MANIPULATION_RISK</x:v>
      </x:c>
      <x:c r="K18" s="11" t="str"/>
      <x:c r="L18" s="11" t="str">
        <x:v>Medium</x:v>
      </x:c>
      <x:c r="M18" s="11" t="str">
        <x:v>YELLOW</x:v>
      </x:c>
      <x:c r="N18" s="11" t="str">
        <x:v>Not Started</x:v>
      </x:c>
      <x:c r="O18" s="11" t="str">
        <x:v>NB03_Platformization_Digital_Politics</x:v>
      </x:c>
      <x:c r="P18" s="11" t="str">
        <x:v>P00_UNIVERSAL_SOURCE_EXTRACTION + P03_PLATFORMIZATION_DIGITAL_POLITICS + P05_ETHICS_MANIPULATION_RISK</x:v>
      </x:c>
      <x:c r="Q18" s="11" t="str">
        <x:v>[G3_PLATFORMIZATION_DIGITAL_POLITICS]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x:v>
      </x:c>
      <x:c r="R18" s="11" t="str">
        <x:v>PDF_017_GIL-DE-ZUNIGA_ETAL_2020.md</x:v>
      </x:c>
      <x:c r="S18" s="11" t="str">
        <x:v>Social media/populism/editorial context; verify exact object</x:v>
      </x:c>
      <x:c r="T18" s="11" t="str">
        <x:v>Yes - verify classification</x:v>
      </x:c>
      <x:c r="U18" s="11" t="str">
        <x:v>No</x:v>
      </x:c>
      <x:c r="V18" s="11" t="str">
        <x:v>No</x:v>
      </x:c>
      <x:c r="W18" s="11" t="str">
        <x:v>No</x:v>
      </x:c>
      <x:c r="X18" s="11" t="str"/>
    </x:row>
    <x:row r="19" ht="45" customHeight="1">
      <x:c r="A19" s="11" t="str">
        <x:v>PDF_018</x:v>
      </x:c>
      <x:c r="B19" s="11" t="str">
        <x:v>GREENE_ETAL_2022.pdf</x:v>
      </x:c>
      <x:c r="C19" s="11" t="str">
        <x:v>GREENE_ETAL_2022.pdf</x:v>
      </x:c>
      <x:c r="D19" s="11" t="str">
        <x:v>ROOT</x:v>
      </x:c>
      <x:c r="E19" s="11" t="str">
        <x:v>GREENE_ETAL</x:v>
      </x:c>
      <x:c r="F19" s="11" t="str">
        <x:v>2022</x:v>
      </x:c>
      <x:c r="G19" s="11" t="n">
        <x:v>0.53</x:v>
      </x:c>
      <x:c r="H19" s="11" t="n">
        <x:v>46147.76495370371</x:v>
      </x:c>
      <x:c r="I19" s="11" t="str">
        <x:v>G2_TOPIC_MODELING_METHOD</x:v>
      </x:c>
      <x:c r="J19" s="11" t="str">
        <x:v>G7_VENUE_POSITIONING_PRECEDENT</x:v>
      </x:c>
      <x:c r="K19" s="11" t="str"/>
      <x:c r="L19" s="11" t="str">
        <x:v>Low</x:v>
      </x:c>
      <x:c r="M19" s="11" t="str">
        <x:v>YELLOW</x:v>
      </x:c>
      <x:c r="N19" s="11" t="str">
        <x:v>Not Started</x:v>
      </x:c>
      <x:c r="O19" s="11" t="str">
        <x:v>NB02_Topic_Modeling_Methods</x:v>
      </x:c>
      <x:c r="P19" s="11" t="str">
        <x:v>P00_UNIVERSAL_SOURCE_EXTRACTION + P02_TOPIC_MODELING_METHOD + P07_VENUE_PRECEDENT</x:v>
      </x:c>
      <x:c r="Q19" s="11" t="str">
        <x:v>[G2_TOPIC_MODELING_METHOD] What method is used? What corpus? What validation strategy? Topic number K if any? What preprocessing choices? Does it discuss short texts, Spanish, interpretability, or alternatives to LDA?
[G7_VENUE_POSITIONING_PRECEDENT] What journal published this? Why is it a precedent? Which side of the paper’s niche does it cover: method, object, region, or theory? Is it a competitor, complement, or legitimating precedent?</x:v>
      </x:c>
      <x:c r="R19" s="11" t="str">
        <x:v>PDF_018_GREENE_ETAL_2022.md</x:v>
      </x:c>
      <x:c r="S19" s="11" t="str">
        <x:v>Manifesto/topic coding or elections precedent; verify</x:v>
      </x:c>
      <x:c r="T19" s="11" t="str">
        <x:v>Yes - verify classification</x:v>
      </x:c>
      <x:c r="U19" s="11" t="str">
        <x:v>No</x:v>
      </x:c>
      <x:c r="V19" s="11" t="str">
        <x:v>No</x:v>
      </x:c>
      <x:c r="W19" s="11" t="str">
        <x:v>No</x:v>
      </x:c>
      <x:c r="X19" s="11" t="str"/>
    </x:row>
    <x:row r="20" ht="45" customHeight="1">
      <x:c r="A20" s="11" t="str">
        <x:v>PDF_019</x:v>
      </x:c>
      <x:c r="B20" s="11" t="str">
        <x:v>HAMELEERS_ETAL_2026.pdf</x:v>
      </x:c>
      <x:c r="C20" s="11" t="str">
        <x:v>HAMELEERS_ETAL_2026.pdf</x:v>
      </x:c>
      <x:c r="D20" s="11" t="str">
        <x:v>ROOT</x:v>
      </x:c>
      <x:c r="E20" s="11" t="str">
        <x:v>HAMELEERS_ETAL</x:v>
      </x:c>
      <x:c r="F20" s="11" t="str">
        <x:v>2026</x:v>
      </x:c>
      <x:c r="G20" s="11" t="n">
        <x:v>0.16</x:v>
      </x:c>
      <x:c r="H20" s="11" t="n">
        <x:v>46147.71623842593</x:v>
      </x:c>
      <x:c r="I20" s="11" t="str">
        <x:v>G5_ETHICS_MANIPULATION_RISK</x:v>
      </x:c>
      <x:c r="J20" s="11" t="str">
        <x:v>G1_PAID_ADS_OBJECT</x:v>
      </x:c>
      <x:c r="K20" s="11" t="str"/>
      <x:c r="L20" s="11" t="str">
        <x:v>Medium</x:v>
      </x:c>
      <x:c r="M20" s="11" t="str">
        <x:v>YELLOW</x:v>
      </x:c>
      <x:c r="N20" s="11" t="str">
        <x:v>Not Started</x:v>
      </x:c>
      <x:c r="O20" s="11" t="str">
        <x:v>NB05_Ethics_Manipulation_Risk</x:v>
      </x:c>
      <x:c r="P20" s="11" t="str">
        <x:v>P00_UNIVERSAL_SOURCE_EXTRACTION + P05_ETHICS_MANIPULATION_RISK + P01_PAID_ADS_OBJECT</x:v>
      </x:c>
      <x:c r="Q20" s="11" t="str">
        <x:v>[G5_ETHICS_MANIPULATION_RISK] What democratic risk is identified? Is the concern manipulation, privacy, polarization, misinformation, opacity, unequal exposure, or persuasion? Does the source distinguish fear from evidence?
[G1_PAID_ADS_OBJECT] Does the source study paid ads or organic posts? What platform? What targeting mechanism? What does it say about ad visibility, disclosure, persuasion, segmentation, or audience control?</x:v>
      </x:c>
      <x:c r="R20" s="11" t="str">
        <x:v>PDF_019_HAMELEERS_ETAL_2026.md</x:v>
      </x:c>
      <x:c r="S20" s="11" t="str">
        <x:v>Political misinformation/microtargeting risk; verify</x:v>
      </x:c>
      <x:c r="T20" s="11" t="str">
        <x:v>Yes - verify classification</x:v>
      </x:c>
      <x:c r="U20" s="11" t="str">
        <x:v>No</x:v>
      </x:c>
      <x:c r="V20" s="11" t="str">
        <x:v>No</x:v>
      </x:c>
      <x:c r="W20" s="11" t="str">
        <x:v>No</x:v>
      </x:c>
      <x:c r="X20" s="11" t="str"/>
    </x:row>
    <x:row r="21" ht="45" customHeight="1">
      <x:c r="A21" s="11" t="str">
        <x:v>PDF_020</x:v>
      </x:c>
      <x:c r="B21" s="11" t="str">
        <x:v>HESELTINE_2023.pdf</x:v>
      </x:c>
      <x:c r="C21" s="11" t="str">
        <x:v>HESELTINE_2023.pdf</x:v>
      </x:c>
      <x:c r="D21" s="11" t="str">
        <x:v>ROOT</x:v>
      </x:c>
      <x:c r="E21" s="11" t="str">
        <x:v>HESELTINE</x:v>
      </x:c>
      <x:c r="F21" s="11" t="str">
        <x:v>2023</x:v>
      </x:c>
      <x:c r="G21" s="11" t="n">
        <x:v>2.03</x:v>
      </x:c>
      <x:c r="H21" s="11" t="n">
        <x:v>46147.77107638889</x:v>
      </x:c>
      <x:c r="I21" s="11" t="str">
        <x:v>G3_PLATFORMIZATION_DIGITAL_POLITICS</x:v>
      </x:c>
      <x:c r="J21" s="11" t="str">
        <x:v>G5_ETHICS_MANIPULATION_RISK</x:v>
      </x:c>
      <x:c r="K21" s="11" t="str"/>
      <x:c r="L21" s="11" t="str">
        <x:v>Low</x:v>
      </x:c>
      <x:c r="M21" s="11" t="str">
        <x:v>YELLOW</x:v>
      </x:c>
      <x:c r="N21" s="11" t="str">
        <x:v>Not Started</x:v>
      </x:c>
      <x:c r="O21" s="11" t="str">
        <x:v>NB03_Platformization_Digital_Politics</x:v>
      </x:c>
      <x:c r="P21" s="11" t="str">
        <x:v>P00_UNIVERSAL_SOURCE_EXTRACTION + P03_PLATFORMIZATION_DIGITAL_POLITICS + P05_ETHICS_MANIPULATION_RISK</x:v>
      </x:c>
      <x:c r="Q21" s="11" t="str">
        <x:v>[G3_PLATFORMIZATION_DIGITAL_POLITICS]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x:v>
      </x:c>
      <x:c r="R21" s="11" t="str">
        <x:v>PDF_020_HESELTINE_2023.md</x:v>
      </x:c>
      <x:c r="S21" s="11" t="str">
        <x:v>Polarization/online engagement; contextual</x:v>
      </x:c>
      <x:c r="T21" s="11" t="str">
        <x:v>Yes - verify classification</x:v>
      </x:c>
      <x:c r="U21" s="11" t="str">
        <x:v>No</x:v>
      </x:c>
      <x:c r="V21" s="11" t="str">
        <x:v>No</x:v>
      </x:c>
      <x:c r="W21" s="11" t="str">
        <x:v>No</x:v>
      </x:c>
      <x:c r="X21" s="11" t="str"/>
    </x:row>
    <x:row r="22" ht="45" customHeight="1">
      <x:c r="A22" s="11" t="str">
        <x:v>PDF_021</x:v>
      </x:c>
      <x:c r="B22" s="11" t="str">
        <x:v>HOFFMANN_ETAL_2025.pdf</x:v>
      </x:c>
      <x:c r="C22" s="11" t="str">
        <x:v>HOFFMANN_ETAL_2025.pdf</x:v>
      </x:c>
      <x:c r="D22" s="11" t="str">
        <x:v>ROOT</x:v>
      </x:c>
      <x:c r="E22" s="11" t="str">
        <x:v>HOFFMANN_ETAL</x:v>
      </x:c>
      <x:c r="F22" s="11" t="str">
        <x:v>2025</x:v>
      </x:c>
      <x:c r="G22" s="11" t="n">
        <x:v>1.25</x:v>
      </x:c>
      <x:c r="H22" s="11" t="n">
        <x:v>46147.71386574074</x:v>
      </x:c>
      <x:c r="I22" s="11" t="str">
        <x:v>G3_PLATFORMIZATION_DIGITAL_POLITICS</x:v>
      </x:c>
      <x:c r="J22" s="11" t="str">
        <x:v>G5_ETHICS_MANIPULATION_RISK</x:v>
      </x:c>
      <x:c r="K22" s="11" t="str"/>
      <x:c r="L22" s="11" t="str">
        <x:v>Medium</x:v>
      </x:c>
      <x:c r="M22" s="11" t="str">
        <x:v>YELLOW</x:v>
      </x:c>
      <x:c r="N22" s="11" t="str">
        <x:v>Not Started</x:v>
      </x:c>
      <x:c r="O22" s="11" t="str">
        <x:v>NB03_Platformization_Digital_Politics</x:v>
      </x:c>
      <x:c r="P22" s="11" t="str">
        <x:v>P00_UNIVERSAL_SOURCE_EXTRACTION + P03_PLATFORMIZATION_DIGITAL_POLITICS + P05_ETHICS_MANIPULATION_RISK</x:v>
      </x:c>
      <x:c r="Q22" s="11" t="str">
        <x:v>[G3_PLATFORMIZATION_DIGITAL_POLITICS]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x:v>
      </x:c>
      <x:c r="R22" s="11" t="str">
        <x:v>PDF_021_HOFFMANN_ETAL_2025.md</x:v>
      </x:c>
      <x:c r="S22" s="11" t="str">
        <x:v>Cross-platform politics; contextual</x:v>
      </x:c>
      <x:c r="T22" s="11" t="str">
        <x:v>Yes - verify classification</x:v>
      </x:c>
      <x:c r="U22" s="11" t="str">
        <x:v>No</x:v>
      </x:c>
      <x:c r="V22" s="11" t="str">
        <x:v>No</x:v>
      </x:c>
      <x:c r="W22" s="11" t="str">
        <x:v>No</x:v>
      </x:c>
      <x:c r="X22" s="11" t="str"/>
    </x:row>
    <x:row r="23" ht="45" customHeight="1">
      <x:c r="A23" s="11" t="str">
        <x:v>PDF_022</x:v>
      </x:c>
      <x:c r="B23" s="11" t="str">
        <x:v>ITUASSU_2023.pdf</x:v>
      </x:c>
      <x:c r="C23" s="11" t="str">
        <x:v>ITUASSU_2023.pdf</x:v>
      </x:c>
      <x:c r="D23" s="11" t="str">
        <x:v>ROOT</x:v>
      </x:c>
      <x:c r="E23" s="11" t="str">
        <x:v>ITUASSU</x:v>
      </x:c>
      <x:c r="F23" s="11" t="str">
        <x:v>2023</x:v>
      </x:c>
      <x:c r="G23" s="11" t="n">
        <x:v>0.23</x:v>
      </x:c>
      <x:c r="H23" s="11" t="n">
        <x:v>46147.76373842593</x:v>
      </x:c>
      <x:c r="I23" s="11" t="str">
        <x:v>G4_CHILE_LATAM_CASE_CONTEXT</x:v>
      </x:c>
      <x:c r="J23" s="11" t="str">
        <x:v>G3_PLATFORMIZATION_DIGITAL_POLITICS</x:v>
      </x:c>
      <x:c r="K23" s="11" t="str">
        <x:v>G7_VENUE_POSITIONING_PRECEDENT</x:v>
      </x:c>
      <x:c r="L23" s="11" t="str">
        <x:v>High</x:v>
      </x:c>
      <x:c r="M23" s="11" t="str">
        <x:v>GREEN</x:v>
      </x:c>
      <x:c r="N23" s="11" t="str">
        <x:v>Not Started</x:v>
      </x:c>
      <x:c r="O23" s="11" t="str">
        <x:v>NB04_Chile_LatAm_Context</x:v>
      </x:c>
      <x:c r="P23" s="11" t="str">
        <x:v>P00_UNIVERSAL_SOURCE_EXTRACTION + P04_CHILE_LATAM_CONTEXT + P03_PLATFORMIZATION_DIGITAL_POLITICS + P07_VENUE_PRECEDENT</x:v>
      </x:c>
      <x:c r="Q23" s="11" t="str">
        <x:v>[G4_CHILE_LATAM_CASE_CONTEXT] Which country/election is studied? What makes the context distinctive? Does it discuss Chile 2021, post-2019 politics, party fragmentation, LatAm platforms, or regional campaign practices?
[G3_PLATFORMIZATION_DIGITAL_POLITICS] How does the source define digitalization/platformization? What mechanisms are named? Does it treat platforms as passive channels or active infrastructures? Is the pattern global, local, or comparative?
[G7_VENUE_POSITIONING_PRECEDENT] What journal published this? Why is it a precedent? Which side of the paper’s niche does it cover: method, object, region, or theory? Is it a competitor, complement, or legitimating precedent?</x:v>
      </x:c>
      <x:c r="R23" s="11" t="str">
        <x:v>PDF_022_ITUASSU_2023.md</x:v>
      </x:c>
      <x:c r="S23" s="11" t="str">
        <x:v>Brazil digital campaigns 2010-2020; regional sequence</x:v>
      </x:c>
      <x:c r="T23" s="11" t="str"/>
      <x:c r="U23" s="11" t="str">
        <x:v>No</x:v>
      </x:c>
      <x:c r="V23" s="11" t="str">
        <x:v>No</x:v>
      </x:c>
      <x:c r="W23" s="11" t="str">
        <x:v>No</x:v>
      </x:c>
      <x:c r="X23" s="11" t="str"/>
    </x:row>
    <x:row r="24" ht="45" customHeight="1">
      <x:c r="A24" s="11" t="str">
        <x:v>PDF_023</x:v>
      </x:c>
      <x:c r="B24" s="11" t="str">
        <x:v>JAMIL-MARQUES_2024.pdf</x:v>
      </x:c>
      <x:c r="C24" s="11" t="str">
        <x:v>JAMIL-MARQUES_2024.pdf</x:v>
      </x:c>
      <x:c r="D24" s="11" t="str">
        <x:v>ROOT</x:v>
      </x:c>
      <x:c r="E24" s="11" t="str">
        <x:v>JAMIL-MARQUES</x:v>
      </x:c>
      <x:c r="F24" s="11" t="str">
        <x:v>2024</x:v>
      </x:c>
      <x:c r="G24" s="11" t="n">
        <x:v>0.36</x:v>
      </x:c>
      <x:c r="H24" s="11" t="n">
        <x:v>46147.775555555556</x:v>
      </x:c>
      <x:c r="I24" s="11" t="str">
        <x:v>G4_CHILE_LATAM_CASE_CONTEXT</x:v>
      </x:c>
      <x:c r="J24" s="11" t="str">
        <x:v>G5_ETHICS_MANIPULATION_RISK</x:v>
      </x:c>
      <x:c r="K24" s="11" t="str">
        <x:v>G7_VENUE_POSITIONING_PRECEDENT</x:v>
      </x:c>
      <x:c r="L24" s="11" t="str">
        <x:v>Medium</x:v>
      </x:c>
      <x:c r="M24" s="11" t="str">
        <x:v>YELLOW</x:v>
      </x:c>
      <x:c r="N24" s="11" t="str">
        <x:v>Not Started</x:v>
      </x:c>
      <x:c r="O24" s="11" t="str">
        <x:v>NB04_Chile_LatAm_Context</x:v>
      </x:c>
      <x:c r="P24" s="11" t="str">
        <x:v>P00_UNIVERSAL_SOURCE_EXTRACTION + P04_CHILE_LATAM_CONTEXT + P05_ETHICS_MANIPULATION_RISK + P07_VENUE_PRECEDENT</x:v>
      </x:c>
      <x:c r="Q24" s="11" t="str">
        <x:v>[G4_CHILE_LATAM_CASE_CONTEXT] Which country/election is studied? What makes the context distinctive? Does it discuss Chile 2021, post-2019 politics, party fragmentation, LatAm platforms, or regional campaign practices?
[G5_ETHICS_MANIPULATION_RISK] What democratic risk is identified? Is the concern manipulation, privacy, polarization, misinformation, opacity, unequal exposure, or persuasion? Does the source distinguish fear from evidence?
[G7_VENUE_POSITIONING_PRECEDENT] What journal published this? Why is it a precedent? Which side of the paper’s niche does it cover: method, object, region, or theory? Is it a competitor, complement, or legitimating precedent?</x:v>
      </x:c>
      <x:c r="R24" s="11" t="str">
        <x:v>PDF_023_JAMIL-MARQUES_2024.md</x:v>
      </x:c>
      <x:c r="S24" s="11" t="str">
        <x:v>Bolsonaro/Brazil/journalism/political communication comparator</x:v>
      </x:c>
      <x:c r="T24" s="11" t="str">
        <x:v>Yes - verify classification</x:v>
      </x:c>
      <x:c r="U24" s="11" t="str">
        <x:v>No</x:v>
      </x:c>
      <x:c r="V24" s="11" t="str">
        <x:v>No</x:v>
      </x:c>
      <x:c r="W24" s="11" t="str">
        <x:v>No</x:v>
      </x:c>
      <x:c r="X24" s="11" t="str"/>
    </x:row>
    <x:row r="25" ht="45" customHeight="1">
      <x:c r="A25" s="11" t="str">
        <x:v>PDF_024</x:v>
      </x:c>
      <x:c r="B25" s="11" t="str">
        <x:v>KANGASLAHTI_2026.pdf</x:v>
      </x:c>
      <x:c r="C25" s="11" t="str">
        <x:v>KANGASLAHTI_2026.pdf</x:v>
      </x:c>
      <x:c r="D25" s="11" t="str">
        <x:v>ROOT</x:v>
      </x:c>
      <x:c r="E25" s="11" t="str">
        <x:v>KANGASLAHTI</x:v>
      </x:c>
      <x:c r="F25" s="11" t="str">
        <x:v>2026</x:v>
      </x:c>
      <x:c r="G25" s="11" t="n">
        <x:v>1.69</x:v>
      </x:c>
      <x:c r="H25" s="11" t="n">
        <x:v>46147.66584490741</x:v>
      </x:c>
      <x:c r="I25" s="11" t="str">
        <x:v>G2_TOPIC_MODELING_METHOD</x:v>
      </x:c>
      <x:c r="J25" s="11" t="str">
        <x:v>G7_VENUE_POSITIONING_PRECEDENT</x:v>
      </x:c>
      <x:c r="K25" s="11" t="str">
        <x:v>G3_PLATFORMIZATION_DIGITAL_POLITICS</x:v>
      </x:c>
      <x:c r="L25" s="11" t="str">
        <x:v>High</x:v>
      </x:c>
      <x:c r="M25" s="11" t="str">
        <x:v>GREEN</x:v>
      </x:c>
      <x:c r="N25" s="11" t="str">
        <x:v>Not Started</x:v>
      </x:c>
      <x:c r="O25" s="11" t="str">
        <x:v>NB02_Topic_Modeling_Methods</x:v>
      </x:c>
      <x:c r="P25" s="11" t="str">
        <x:v>P00_UNIVERSAL_SOURCE_EXTRACTION + P02_TOPIC_MODELING_METHOD + P07_VENUE_PRECEDENT + P03_PLATFORMIZATION_DIGITAL_POLITICS</x:v>
      </x:c>
      <x:c r="Q25" s="11" t="str">
        <x:v>[G2_TOPIC_MODELING_METHOD] What method is used? What corpus? What validation strategy? Topic number K if any? What preprocessing choices? Does it discuss short texts, Spanish, interpretability, or alternatives to LDA?
[G7_VENUE_POSITIONING_PRECEDENT] What journal published this? Why is it a precedent? Which side of the paper’s niche does it cover: method, object, region, or theory? Is it a competitor, complement, or legitimating precedent?
[G3_PLATFORMIZATION_DIGITAL_POLITICS] How does the source define digitalization/platformization? What mechanisms are named? Does it treat platforms as passive channels or active infrastructures? Is the pattern global, local, or comparative?</x:v>
      </x:c>
      <x:c r="R25" s="11" t="str">
        <x:v>PDF_024_KANGASLAHTI_2026.md</x:v>
      </x:c>
      <x:c r="S25" s="11" t="str">
        <x:v>Political Analysis online/tensor LDA; method legitimation</x:v>
      </x:c>
      <x:c r="T25" s="11" t="str"/>
      <x:c r="U25" s="11" t="str">
        <x:v>No</x:v>
      </x:c>
      <x:c r="V25" s="11" t="str">
        <x:v>No</x:v>
      </x:c>
      <x:c r="W25" s="11" t="str">
        <x:v>No</x:v>
      </x:c>
      <x:c r="X25" s="11" t="str"/>
    </x:row>
    <x:row r="26" ht="45" customHeight="1">
      <x:c r="A26" s="11" t="str">
        <x:v>PDF_025</x:v>
      </x:c>
      <x:c r="B26" s="11" t="str">
        <x:v>KLINGER_ETAL_2023.pdf</x:v>
      </x:c>
      <x:c r="C26" s="11" t="str">
        <x:v>KLINGER_ETAL_2023.pdf</x:v>
      </x:c>
      <x:c r="D26" s="11" t="str">
        <x:v>ROOT</x:v>
      </x:c>
      <x:c r="E26" s="11" t="str">
        <x:v>KLINGER_ETAL</x:v>
      </x:c>
      <x:c r="F26" s="11" t="str">
        <x:v>2023</x:v>
      </x:c>
      <x:c r="G26" s="11" t="n">
        <x:v>1.38</x:v>
      </x:c>
      <x:c r="H26" s="11" t="n">
        <x:v>46147.65090277778</x:v>
      </x:c>
      <x:c r="I26" s="11" t="str">
        <x:v>G3_PLATFORMIZATION_DIGITAL_POLITICS</x:v>
      </x:c>
      <x:c r="J26" s="11" t="str">
        <x:v>G5_ETHICS_MANIPULATION_RISK</x:v>
      </x:c>
      <x:c r="K26" s="11" t="str">
        <x:v>G7_VENUE_POSITIONING_PRECEDENT</x:v>
      </x:c>
      <x:c r="L26" s="11" t="str">
        <x:v>Medium</x:v>
      </x:c>
      <x:c r="M26" s="11" t="str">
        <x:v>GREEN</x:v>
      </x:c>
      <x:c r="N26" s="11" t="str">
        <x:v>Not Started</x:v>
      </x:c>
      <x:c r="O26" s="11" t="str">
        <x:v>NB03_Platformization_Digital_Politics</x:v>
      </x:c>
      <x:c r="P26" s="11" t="str">
        <x:v>P00_UNIVERSAL_SOURCE_EXTRACTION + P03_PLATFORMIZATION_DIGITAL_POLITICS + P05_ETHICS_MANIPULATION_RISK + P07_VENUE_PRECEDENT</x:v>
      </x:c>
      <x:c r="Q26" s="11" t="str">
        <x:v>[G3_PLATFORMIZATION_DIGITAL_POLITICS]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
[G7_VENUE_POSITIONING_PRECEDENT] What journal published this? Why is it a precedent? Which side of the paper’s niche does it cover: method, object, region, or theory? Is it a competitor, complement, or legitimating precedent?</x:v>
      </x:c>
      <x:c r="R26" s="11" t="str">
        <x:v>PDF_025_KLINGER_ETAL_2023.md</x:v>
      </x:c>
      <x:c r="S26" s="11" t="str">
        <x:v>Facebook campaign negativity/populism in EP elections</x:v>
      </x:c>
      <x:c r="T26" s="11" t="str"/>
      <x:c r="U26" s="11" t="str">
        <x:v>No</x:v>
      </x:c>
      <x:c r="V26" s="11" t="str">
        <x:v>No</x:v>
      </x:c>
      <x:c r="W26" s="11" t="str">
        <x:v>No</x:v>
      </x:c>
      <x:c r="X26" s="11" t="str"/>
    </x:row>
    <x:row r="27" ht="45" customHeight="1">
      <x:c r="A27" s="11" t="str">
        <x:v>PDF_026</x:v>
      </x:c>
      <x:c r="B27" s="11" t="str">
        <x:v>LEERSSEN_ETAL_2023.pdf</x:v>
      </x:c>
      <x:c r="C27" s="11" t="str">
        <x:v>LEERSSEN_ETAL_2023.pdf</x:v>
      </x:c>
      <x:c r="D27" s="11" t="str">
        <x:v>ROOT</x:v>
      </x:c>
      <x:c r="E27" s="11" t="str">
        <x:v>LEERSSEN_ETAL</x:v>
      </x:c>
      <x:c r="F27" s="11" t="str">
        <x:v>2023</x:v>
      </x:c>
      <x:c r="G27" s="11" t="n">
        <x:v>2.12</x:v>
      </x:c>
      <x:c r="H27" s="11" t="n">
        <x:v>46147.71444444444</x:v>
      </x:c>
      <x:c r="I27" s="11" t="str">
        <x:v>G1_PAID_ADS_OBJECT</x:v>
      </x:c>
      <x:c r="J27" s="11" t="str">
        <x:v>G5_ETHICS_MANIPULATION_RISK</x:v>
      </x:c>
      <x:c r="K27" s="11" t="str">
        <x:v>G7_VENUE_POSITIONING_PRECEDENT</x:v>
      </x:c>
      <x:c r="L27" s="11" t="str">
        <x:v>High</x:v>
      </x:c>
      <x:c r="M27" s="11" t="str">
        <x:v>GREEN</x:v>
      </x:c>
      <x:c r="N27" s="11" t="str">
        <x:v>Not Started</x:v>
      </x:c>
      <x:c r="O27" s="11" t="str">
        <x:v>NB01_Paid_Digital_Ads</x:v>
      </x:c>
      <x:c r="P27" s="11" t="str">
        <x:v>P00_UNIVERSAL_SOURCE_EXTRACTION + P01_PAID_ADS_OBJECT + P05_ETHICS_MANIPULATION_RISK + P07_VENUE_PRECEDENT</x:v>
      </x:c>
      <x:c r="Q27" s="11" t="str">
        <x:v>[G1_PAID_ADS_OBJECT] Does the source study paid ads or organic posts? What platform? What targeting mechanism? What does it say about ad visibility, disclosure, persuasion, segmentation, or audience control?
[G5_ETHICS_MANIPULATION_RISK] What democratic risk is identified? Is the concern manipulation, privacy, polarization, misinformation, opacity, unequal exposure, or persuasion? Does the source distinguish fear from evidence?
[G7_VENUE_POSITIONING_PRECEDENT] What journal published this? Why is it a precedent? Which side of the paper’s niche does it cover: method, object, region, or theory? Is it a competitor, complement, or legitimating precedent?</x:v>
      </x:c>
      <x:c r="R27" s="11" t="str">
        <x:v>PDF_026_LEERSSEN_ETAL_2023.md</x:v>
      </x:c>
      <x:c r="S27" s="11" t="str">
        <x:v>Facebook Ad Library / ad archive accountability</x:v>
      </x:c>
      <x:c r="T27" s="11" t="str"/>
      <x:c r="U27" s="11" t="str">
        <x:v>No</x:v>
      </x:c>
      <x:c r="V27" s="11" t="str">
        <x:v>No</x:v>
      </x:c>
      <x:c r="W27" s="11" t="str">
        <x:v>No</x:v>
      </x:c>
      <x:c r="X27" s="11" t="str"/>
    </x:row>
    <x:row r="28" ht="45" customHeight="1">
      <x:c r="A28" s="11" t="str">
        <x:v>PDF_027</x:v>
      </x:c>
      <x:c r="B28" s="11" t="str">
        <x:v>LOPEZ-ESCARENA_ETAL_2025.pdf</x:v>
      </x:c>
      <x:c r="C28" s="11" t="str">
        <x:v>LOPEZ-ESCARENA_ETAL_2025.pdf</x:v>
      </x:c>
      <x:c r="D28" s="11" t="str">
        <x:v>ROOT</x:v>
      </x:c>
      <x:c r="E28" s="11" t="str">
        <x:v>LOPEZ-ESCARENA_ETAL</x:v>
      </x:c>
      <x:c r="F28" s="11" t="str">
        <x:v>2025</x:v>
      </x:c>
      <x:c r="G28" s="11" t="n">
        <x:v>0.19</x:v>
      </x:c>
      <x:c r="H28" s="11" t="n">
        <x:v>46147.73703703703</x:v>
      </x:c>
      <x:c r="I28" s="11" t="str">
        <x:v>G4_CHILE_LATAM_CASE_CONTEXT</x:v>
      </x:c>
      <x:c r="J28" s="11" t="str">
        <x:v>G3_PLATFORMIZATION_DIGITAL_POLITICS</x:v>
      </x:c>
      <x:c r="K28" s="11" t="str">
        <x:v>G7_VENUE_POSITIONING_PRECEDENT</x:v>
      </x:c>
      <x:c r="L28" s="11" t="str">
        <x:v>High</x:v>
      </x:c>
      <x:c r="M28" s="11" t="str">
        <x:v>GREEN</x:v>
      </x:c>
      <x:c r="N28" s="11" t="str">
        <x:v>Not Started</x:v>
      </x:c>
      <x:c r="O28" s="11" t="str">
        <x:v>NB04_Chile_LatAm_Context</x:v>
      </x:c>
      <x:c r="P28" s="11" t="str">
        <x:v>P00_UNIVERSAL_SOURCE_EXTRACTION + P04_CHILE_LATAM_CONTEXT + P03_PLATFORMIZATION_DIGITAL_POLITICS + P07_VENUE_PRECEDENT</x:v>
      </x:c>
      <x:c r="Q28" s="11" t="str">
        <x:v>[G4_CHILE_LATAM_CASE_CONTEXT] Which country/election is studied? What makes the context distinctive? Does it discuss Chile 2021, post-2019 politics, party fragmentation, LatAm platforms, or regional campaign practices?
[G3_PLATFORMIZATION_DIGITAL_POLITICS] How does the source define digitalization/platformization? What mechanisms are named? Does it treat platforms as passive channels or active infrastructures? Is the pattern global, local, or comparative?
[G7_VENUE_POSITIONING_PRECEDENT] What journal published this? Why is it a precedent? Which side of the paper’s niche does it cover: method, object, region, or theory? Is it a competitor, complement, or legitimating precedent?</x:v>
      </x:c>
      <x:c r="R28" s="11" t="str">
        <x:v>PDF_027_LOPEZ-ESCARENA_ETAL_2025.md</x:v>
      </x:c>
      <x:c r="S28" s="11" t="str">
        <x:v>Chile plebiscite / connective democracy digital politics</x:v>
      </x:c>
      <x:c r="T28" s="11" t="str"/>
      <x:c r="U28" s="11" t="str">
        <x:v>No</x:v>
      </x:c>
      <x:c r="V28" s="11" t="str">
        <x:v>No</x:v>
      </x:c>
      <x:c r="W28" s="11" t="str">
        <x:v>No</x:v>
      </x:c>
      <x:c r="X28" s="11" t="str"/>
    </x:row>
    <x:row r="29" ht="45" customHeight="1">
      <x:c r="A29" s="11" t="str">
        <x:v>PDF_028</x:v>
      </x:c>
      <x:c r="B29" s="11" t="str">
        <x:v>LUKITO_2019.pdf</x:v>
      </x:c>
      <x:c r="C29" s="11" t="str">
        <x:v>LUKITO_2019.pdf</x:v>
      </x:c>
      <x:c r="D29" s="11" t="str">
        <x:v>ROOT</x:v>
      </x:c>
      <x:c r="E29" s="11" t="str">
        <x:v>LUKITO</x:v>
      </x:c>
      <x:c r="F29" s="11" t="str">
        <x:v>2019</x:v>
      </x:c>
      <x:c r="G29" s="11" t="n">
        <x:v>0.61</x:v>
      </x:c>
      <x:c r="H29" s="11" t="n">
        <x:v>46147.65267361111</x:v>
      </x:c>
      <x:c r="I29" s="11" t="str">
        <x:v>G5_ETHICS_MANIPULATION_RISK</x:v>
      </x:c>
      <x:c r="J29" s="11" t="str">
        <x:v>G3_PLATFORMIZATION_DIGITAL_POLITICS</x:v>
      </x:c>
      <x:c r="K29" s="11" t="str">
        <x:v>G7_VENUE_POSITIONING_PRECEDENT</x:v>
      </x:c>
      <x:c r="L29" s="11" t="str">
        <x:v>Low</x:v>
      </x:c>
      <x:c r="M29" s="11" t="str">
        <x:v>GREEN</x:v>
      </x:c>
      <x:c r="N29" s="11" t="str">
        <x:v>Not Started</x:v>
      </x:c>
      <x:c r="O29" s="11" t="str">
        <x:v>NB05_Ethics_Manipulation_Risk</x:v>
      </x:c>
      <x:c r="P29" s="11" t="str">
        <x:v>P00_UNIVERSAL_SOURCE_EXTRACTION + P05_ETHICS_MANIPULATION_RISK + P03_PLATFORMIZATION_DIGITAL_POLITICS + P07_VENUE_PRECEDENT</x:v>
      </x:c>
      <x:c r="Q29" s="11" t="str">
        <x:v>[G5_ETHICS_MANIPULATION_RISK] What democratic risk is identified? Is the concern manipulation, privacy, polarization, misinformation, opacity, unequal exposure, or persuasion? Does the source distinguish fear from evidence?
[G3_PLATFORMIZATION_DIGITAL_POLITICS] How does the source define digitalization/platformization? What mechanisms are named? Does it treat platforms as passive channels or active infrastructures? Is the pattern global, local, or comparative?
[G7_VENUE_POSITIONING_PRECEDENT] What journal published this? Why is it a precedent? Which side of the paper’s niche does it cover: method, object, region, or theory? Is it a competitor, complement, or legitimating precedent?</x:v>
      </x:c>
      <x:c r="R29" s="11" t="str">
        <x:v>PDF_028_LUKITO_2019.md</x:v>
      </x:c>
      <x:c r="S29" s="11" t="str">
        <x:v>Multi-platform disinformation campaign; computational precedent</x:v>
      </x:c>
      <x:c r="T29" s="11" t="str"/>
      <x:c r="U29" s="11" t="str">
        <x:v>No</x:v>
      </x:c>
      <x:c r="V29" s="11" t="str">
        <x:v>No</x:v>
      </x:c>
      <x:c r="W29" s="11" t="str">
        <x:v>No</x:v>
      </x:c>
      <x:c r="X29" s="11" t="str"/>
    </x:row>
    <x:row r="30" ht="45" customHeight="1">
      <x:c r="A30" s="11" t="str">
        <x:v>PDF_029</x:v>
      </x:c>
      <x:c r="B30" s="11" t="str">
        <x:v>LUNA_ETAL_2022_CHILE.pdf</x:v>
      </x:c>
      <x:c r="C30" s="11" t="str">
        <x:v>LUNA_ETAL_2022_CHILE.pdf</x:v>
      </x:c>
      <x:c r="D30" s="11" t="str">
        <x:v>ROOT</x:v>
      </x:c>
      <x:c r="E30" s="11" t="str">
        <x:v>LUNA_ETAL</x:v>
      </x:c>
      <x:c r="F30" s="11" t="str">
        <x:v>2022</x:v>
      </x:c>
      <x:c r="G30" s="11" t="n">
        <x:v>4.69</x:v>
      </x:c>
      <x:c r="H30" s="11" t="n">
        <x:v>46147.77679398148</x:v>
      </x:c>
      <x:c r="I30" s="11" t="str">
        <x:v>G4_CHILE_LATAM_CASE_CONTEXT</x:v>
      </x:c>
      <x:c r="J30" s="11" t="str"/>
      <x:c r="K30" s="11" t="str"/>
      <x:c r="L30" s="11" t="str">
        <x:v>High</x:v>
      </x:c>
      <x:c r="M30" s="11" t="str">
        <x:v>YELLOW</x:v>
      </x:c>
      <x:c r="N30" s="11" t="str">
        <x:v>Not Started</x:v>
      </x:c>
      <x:c r="O30" s="11" t="str">
        <x:v>NB04_Chile_LatAm_Context</x:v>
      </x:c>
      <x:c r="P30" s="11" t="str">
        <x:v>P00_UNIVERSAL_SOURCE_EXTRACTION + P04_CHILE_LATAM_CONTEXT</x:v>
      </x:c>
      <x:c r="Q30" s="11" t="str">
        <x:v>[G4_CHILE_LATAM_CASE_CONTEXT] Which country/election is studied? What makes the context distinctive? Does it discuss Chile 2021, post-2019 politics, party fragmentation, LatAm platforms, or regional campaign practices?</x:v>
      </x:c>
      <x:c r="R30" s="11" t="str">
        <x:v>PDF_029_LUNA_ETAL_2022_CHILE.md</x:v>
      </x:c>
      <x:c r="S30" s="11" t="str">
        <x:v>Chile political context / party system; verify exact use</x:v>
      </x:c>
      <x:c r="T30" s="11" t="str">
        <x:v>Yes - verify classification</x:v>
      </x:c>
      <x:c r="U30" s="11" t="str">
        <x:v>No</x:v>
      </x:c>
      <x:c r="V30" s="11" t="str">
        <x:v>No</x:v>
      </x:c>
      <x:c r="W30" s="11" t="str">
        <x:v>No</x:v>
      </x:c>
      <x:c r="X30" s="11" t="str"/>
    </x:row>
    <x:row r="31" ht="45" customHeight="1">
      <x:c r="A31" s="11" t="str">
        <x:v>PDF_030</x:v>
      </x:c>
      <x:c r="B31" s="11" t="str">
        <x:v>MAURER_ETAL_2023.pdf</x:v>
      </x:c>
      <x:c r="C31" s="11" t="str">
        <x:v>MAURER_ETAL_2023.pdf</x:v>
      </x:c>
      <x:c r="D31" s="11" t="str">
        <x:v>ROOT</x:v>
      </x:c>
      <x:c r="E31" s="11" t="str">
        <x:v>MAURER_ETAL</x:v>
      </x:c>
      <x:c r="F31" s="11" t="str">
        <x:v>2023</x:v>
      </x:c>
      <x:c r="G31" s="11" t="n">
        <x:v>0.66</x:v>
      </x:c>
      <x:c r="H31" s="11" t="n">
        <x:v>46147.77515046296</x:v>
      </x:c>
      <x:c r="I31" s="11" t="str">
        <x:v>G3_PLATFORMIZATION_DIGITAL_POLITICS</x:v>
      </x:c>
      <x:c r="J31" s="11" t="str">
        <x:v>G5_ETHICS_MANIPULATION_RISK</x:v>
      </x:c>
      <x:c r="K31" s="11" t="str">
        <x:v>G7_VENUE_POSITIONING_PRECEDENT</x:v>
      </x:c>
      <x:c r="L31" s="11" t="str">
        <x:v>Medium</x:v>
      </x:c>
      <x:c r="M31" s="11" t="str">
        <x:v>YELLOW</x:v>
      </x:c>
      <x:c r="N31" s="11" t="str">
        <x:v>Not Started</x:v>
      </x:c>
      <x:c r="O31" s="11" t="str">
        <x:v>NB03_Platformization_Digital_Politics</x:v>
      </x:c>
      <x:c r="P31" s="11" t="str">
        <x:v>P00_UNIVERSAL_SOURCE_EXTRACTION + P03_PLATFORMIZATION_DIGITAL_POLITICS + P05_ETHICS_MANIPULATION_RISK + P07_VENUE_PRECEDENT</x:v>
      </x:c>
      <x:c r="Q31" s="11" t="str">
        <x:v>[G3_PLATFORMIZATION_DIGITAL_POLITICS]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
[G7_VENUE_POSITIONING_PRECEDENT] What journal published this? Why is it a precedent? Which side of the paper’s niche does it cover: method, object, region, or theory? Is it a competitor, complement, or legitimating precedent?</x:v>
      </x:c>
      <x:c r="R31" s="11" t="str">
        <x:v>PDF_030_MAURER_ETAL_2023.md</x:v>
      </x:c>
      <x:c r="S31" s="11" t="str">
        <x:v>Right-wing populists and media; contextual</x:v>
      </x:c>
      <x:c r="T31" s="11" t="str">
        <x:v>Yes - verify classification</x:v>
      </x:c>
      <x:c r="U31" s="11" t="str">
        <x:v>No</x:v>
      </x:c>
      <x:c r="V31" s="11" t="str">
        <x:v>No</x:v>
      </x:c>
      <x:c r="W31" s="11" t="str">
        <x:v>No</x:v>
      </x:c>
      <x:c r="X31" s="11" t="str"/>
    </x:row>
    <x:row r="32" ht="45" customHeight="1">
      <x:c r="A32" s="11" t="str">
        <x:v>PDF_031</x:v>
      </x:c>
      <x:c r="B32" s="11" t="str">
        <x:v>NICHOLS_ETAL_2020.pdf</x:v>
      </x:c>
      <x:c r="C32" s="11" t="str">
        <x:v>NICHOLS_ETAL_2020.pdf</x:v>
      </x:c>
      <x:c r="D32" s="11" t="str">
        <x:v>ROOT</x:v>
      </x:c>
      <x:c r="E32" s="11" t="str">
        <x:v>NICHOLS_ETAL</x:v>
      </x:c>
      <x:c r="F32" s="11" t="str">
        <x:v>2020</x:v>
      </x:c>
      <x:c r="G32" s="11" t="n">
        <x:v>0.7</x:v>
      </x:c>
      <x:c r="H32" s="11" t="n">
        <x:v>46147.66112268518</x:v>
      </x:c>
      <x:c r="I32" s="11" t="str">
        <x:v>G2_TOPIC_MODELING_METHOD</x:v>
      </x:c>
      <x:c r="J32" s="11" t="str">
        <x:v>G3_PLATFORMIZATION_DIGITAL_POLITICS</x:v>
      </x:c>
      <x:c r="K32" s="11" t="str">
        <x:v>G7_VENUE_POSITIONING_PRECEDENT</x:v>
      </x:c>
      <x:c r="L32" s="11" t="str">
        <x:v>Medium</x:v>
      </x:c>
      <x:c r="M32" s="11" t="str">
        <x:v>YELLOW</x:v>
      </x:c>
      <x:c r="N32" s="11" t="str">
        <x:v>Not Started</x:v>
      </x:c>
      <x:c r="O32" s="11" t="str">
        <x:v>NB02_Topic_Modeling_Methods</x:v>
      </x:c>
      <x:c r="P32" s="11" t="str">
        <x:v>P00_UNIVERSAL_SOURCE_EXTRACTION + P02_TOPIC_MODELING_METHOD + P03_PLATFORMIZATION_DIGITAL_POLITICS + P07_VENUE_PRECEDENT</x:v>
      </x:c>
      <x:c r="Q32" s="11" t="str">
        <x:v>[G2_TOPIC_MODELING_METHOD] What method is used? What corpus? What validation strategy? Topic number K if any? What preprocessing choices? Does it discuss short texts, Spanish, interpretability, or alternatives to LDA?
[G3_PLATFORMIZATION_DIGITAL_POLITICS] How does the source define digitalization/platformization? What mechanisms are named? Does it treat platforms as passive channels or active infrastructures? Is the pattern global, local, or comparative?
[G7_VENUE_POSITIONING_PRECEDENT] What journal published this? Why is it a precedent? Which side of the paper’s niche does it cover: method, object, region, or theory? Is it a competitor, complement, or legitimating precedent?</x:v>
      </x:c>
      <x:c r="R32" s="11" t="str">
        <x:v>PDF_031_NICHOLS_ETAL_2020.md</x:v>
      </x:c>
      <x:c r="S32" s="11" t="str">
        <x:v>Computational frames / topic methods; verify exact citation</x:v>
      </x:c>
      <x:c r="T32" s="11" t="str">
        <x:v>Yes - verify classification</x:v>
      </x:c>
      <x:c r="U32" s="11" t="str">
        <x:v>No</x:v>
      </x:c>
      <x:c r="V32" s="11" t="str">
        <x:v>No</x:v>
      </x:c>
      <x:c r="W32" s="11" t="str">
        <x:v>No</x:v>
      </x:c>
      <x:c r="X32" s="11" t="str"/>
    </x:row>
    <x:row r="33" ht="45" customHeight="1">
      <x:c r="A33" s="11" t="str">
        <x:v>PDF_032</x:v>
      </x:c>
      <x:c r="B33" s="11" t="str">
        <x:v>OLOF-LARSSON_2020.pdf</x:v>
      </x:c>
      <x:c r="C33" s="11" t="str">
        <x:v>OLOF-LARSSON_2020.pdf</x:v>
      </x:c>
      <x:c r="D33" s="11" t="str">
        <x:v>ROOT</x:v>
      </x:c>
      <x:c r="E33" s="11" t="str">
        <x:v>OLOF-LARSSON</x:v>
      </x:c>
      <x:c r="F33" s="11" t="str">
        <x:v>2020</x:v>
      </x:c>
      <x:c r="G33" s="11" t="n">
        <x:v>0.77</x:v>
      </x:c>
      <x:c r="H33" s="11" t="n">
        <x:v>46147.70982638889</x:v>
      </x:c>
      <x:c r="I33" s="11" t="str">
        <x:v>G3_PLATFORMIZATION_DIGITAL_POLITICS</x:v>
      </x:c>
      <x:c r="J33" s="11" t="str">
        <x:v>G7_VENUE_POSITIONING_PRECEDENT</x:v>
      </x:c>
      <x:c r="K33" s="11" t="str"/>
      <x:c r="L33" s="11" t="str">
        <x:v>Medium</x:v>
      </x:c>
      <x:c r="M33" s="11" t="str">
        <x:v>YELLOW</x:v>
      </x:c>
      <x:c r="N33" s="11" t="str">
        <x:v>Not Started</x:v>
      </x:c>
      <x:c r="O33" s="11" t="str">
        <x:v>NB03_Platformization_Digital_Politics</x:v>
      </x:c>
      <x:c r="P33" s="11" t="str">
        <x:v>P00_UNIVERSAL_SOURCE_EXTRACTION + P03_PLATFORMIZATION_DIGITAL_POLITICS + P07_VENUE_PRECEDENT</x:v>
      </x:c>
      <x:c r="Q33" s="11" t="str">
        <x:v>[G3_PLATFORMIZATION_DIGITAL_POLITICS] How does the source define digitalization/platformization? What mechanisms are named? Does it treat platforms as passive channels or active infrastructures? Is the pattern global, local, or comparative?
[G7_VENUE_POSITIONING_PRECEDENT] What journal published this? Why is it a precedent? Which side of the paper’s niche does it cover: method, object, region, or theory? Is it a competitor, complement, or legitimating precedent?</x:v>
      </x:c>
      <x:c r="R33" s="11" t="str">
        <x:v>PDF_032_OLOF-LARSSON_2020.md</x:v>
      </x:c>
      <x:c r="S33" s="11" t="str">
        <x:v>Facebook/populism/social media campaign precedent; verify</x:v>
      </x:c>
      <x:c r="T33" s="11" t="str">
        <x:v>Yes - verify classification</x:v>
      </x:c>
      <x:c r="U33" s="11" t="str">
        <x:v>No</x:v>
      </x:c>
      <x:c r="V33" s="11" t="str">
        <x:v>No</x:v>
      </x:c>
      <x:c r="W33" s="11" t="str">
        <x:v>No</x:v>
      </x:c>
      <x:c r="X33" s="11" t="str"/>
    </x:row>
    <x:row r="34" ht="45" customHeight="1">
      <x:c r="A34" s="11" t="str">
        <x:v>PDF_033</x:v>
      </x:c>
      <x:c r="B34" s="11" t="str">
        <x:v>OLOF-LARSSON_ETAL_2025.pdf</x:v>
      </x:c>
      <x:c r="C34" s="11" t="str">
        <x:v>OLOF-LARSSON_ETAL_2025.pdf</x:v>
      </x:c>
      <x:c r="D34" s="11" t="str">
        <x:v>ROOT</x:v>
      </x:c>
      <x:c r="E34" s="11" t="str">
        <x:v>OLOF-LARSSON_ETAL</x:v>
      </x:c>
      <x:c r="F34" s="11" t="str">
        <x:v>2025</x:v>
      </x:c>
      <x:c r="G34" s="11" t="n">
        <x:v>1.08</x:v>
      </x:c>
      <x:c r="H34" s="11" t="n">
        <x:v>46147.70961805555</x:v>
      </x:c>
      <x:c r="I34" s="11" t="str">
        <x:v>G3_PLATFORMIZATION_DIGITAL_POLITICS</x:v>
      </x:c>
      <x:c r="J34" s="11" t="str">
        <x:v>G7_VENUE_POSITIONING_PRECEDENT</x:v>
      </x:c>
      <x:c r="K34" s="11" t="str">
        <x:v>G2_TOPIC_MODELING_METHOD</x:v>
      </x:c>
      <x:c r="L34" s="11" t="str">
        <x:v>High</x:v>
      </x:c>
      <x:c r="M34" s="11" t="str">
        <x:v>GREEN</x:v>
      </x:c>
      <x:c r="N34" s="11" t="str">
        <x:v>Not Started</x:v>
      </x:c>
      <x:c r="O34" s="11" t="str">
        <x:v>NB03_Platformization_Digital_Politics</x:v>
      </x:c>
      <x:c r="P34" s="11" t="str">
        <x:v>P00_UNIVERSAL_SOURCE_EXTRACTION + P03_PLATFORMIZATION_DIGITAL_POLITICS + P07_VENUE_PRECEDENT + P02_TOPIC_MODELING_METHOD</x:v>
      </x:c>
      <x:c r="Q34" s="11" t="str">
        <x:v>[G3_PLATFORMIZATION_DIGITAL_POLITICS] How does the source define digitalization/platformization? What mechanisms are named? Does it treat platforms as passive channels or active infrastructures? Is the pattern global, local, or comparative?
[G7_VENUE_POSITIONING_PRECEDENT] What journal published this? Why is it a precedent? Which side of the paper’s niche does it cover: method, object, region, or theory? Is it a competitor, complement, or legitimating precedent?
[G2_TOPIC_MODELING_METHOD] What method is used? What corpus? What validation strategy? Topic number K if any? What preprocessing choices? Does it discuss short texts, Spanish, interpretability, or alternatives to LDA?</x:v>
      </x:c>
      <x:c r="R34" s="11" t="str">
        <x:v>PDF_033_OLOF-LARSSON_ETAL_2025.md</x:v>
      </x:c>
      <x:c r="S34" s="11" t="str">
        <x:v>Social media campaign strategies; methodological skeptic if visuals/manual coding</x:v>
      </x:c>
      <x:c r="T34" s="11" t="str"/>
      <x:c r="U34" s="11" t="str">
        <x:v>No</x:v>
      </x:c>
      <x:c r="V34" s="11" t="str">
        <x:v>No</x:v>
      </x:c>
      <x:c r="W34" s="11" t="str">
        <x:v>No</x:v>
      </x:c>
      <x:c r="X34" s="11" t="str"/>
    </x:row>
    <x:row r="35" ht="45" customHeight="1">
      <x:c r="A35" s="11" t="str">
        <x:v>PDF_034</x:v>
      </x:c>
      <x:c r="B35" s="11" t="str">
        <x:v>ORCHARD_ETAL_2024.pdf</x:v>
      </x:c>
      <x:c r="C35" s="11" t="str">
        <x:v>ORCHARD_ETAL_2024.pdf</x:v>
      </x:c>
      <x:c r="D35" s="11" t="str">
        <x:v>ROOT</x:v>
      </x:c>
      <x:c r="E35" s="11" t="str">
        <x:v>ORCHARD_ETAL</x:v>
      </x:c>
      <x:c r="F35" s="11" t="str">
        <x:v>2024</x:v>
      </x:c>
      <x:c r="G35" s="11" t="n">
        <x:v>0.65</x:v>
      </x:c>
      <x:c r="H35" s="11" t="n">
        <x:v>46147.76787037037</x:v>
      </x:c>
      <x:c r="I35" s="11" t="str">
        <x:v>G4_CHILE_LATAM_CASE_CONTEXT</x:v>
      </x:c>
      <x:c r="J35" s="11" t="str">
        <x:v>G7_VENUE_POSITIONING_PRECEDENT</x:v>
      </x:c>
      <x:c r="K35" s="11" t="str"/>
      <x:c r="L35" s="11" t="str">
        <x:v>High</x:v>
      </x:c>
      <x:c r="M35" s="11" t="str">
        <x:v>GREEN</x:v>
      </x:c>
      <x:c r="N35" s="11" t="str">
        <x:v>Not Started</x:v>
      </x:c>
      <x:c r="O35" s="11" t="str">
        <x:v>NB04_Chile_LatAm_Context</x:v>
      </x:c>
      <x:c r="P35" s="11" t="str">
        <x:v>P00_UNIVERSAL_SOURCE_EXTRACTION + P04_CHILE_LATAM_CONTEXT + P07_VENUE_PRECEDENT</x:v>
      </x:c>
      <x:c r="Q35" s="11" t="str">
        <x:v>[G4_CHILE_LATAM_CASE_CONTEXT] Which country/election is studied? What makes the context distinctive? Does it discuss Chile 2021, post-2019 politics, party fragmentation, LatAm platforms, or regional campaign practices?
[G7_VENUE_POSITIONING_PRECEDENT] What journal published this? Why is it a precedent? Which side of the paper’s niche does it cover: method, object, region, or theory? Is it a competitor, complement, or legitimating precedent?</x:v>
      </x:c>
      <x:c r="R35" s="11" t="str">
        <x:v>PDF_034_ORCHARD_ETAL_2024.md</x:v>
      </x:c>
      <x:c r="S35" s="11" t="str">
        <x:v>Chile political visibility in press; venue and case precedent</x:v>
      </x:c>
      <x:c r="T35" s="11" t="str"/>
      <x:c r="U35" s="11" t="str">
        <x:v>No</x:v>
      </x:c>
      <x:c r="V35" s="11" t="str">
        <x:v>No</x:v>
      </x:c>
      <x:c r="W35" s="11" t="str">
        <x:v>No</x:v>
      </x:c>
      <x:c r="X35" s="11" t="str"/>
    </x:row>
    <x:row r="36" ht="45" customHeight="1">
      <x:c r="A36" s="11" t="str">
        <x:v>PDF_035</x:v>
      </x:c>
      <x:c r="B36" s="11" t="str">
        <x:v>OSNABRUGGE_ETAL_2023.pdf</x:v>
      </x:c>
      <x:c r="C36" s="11" t="str">
        <x:v>OSNABRUGGE_ETAL_2023.pdf</x:v>
      </x:c>
      <x:c r="D36" s="11" t="str">
        <x:v>ROOT</x:v>
      </x:c>
      <x:c r="E36" s="11" t="str">
        <x:v>OSNABRUGGE_ETAL</x:v>
      </x:c>
      <x:c r="F36" s="11" t="str">
        <x:v>2023</x:v>
      </x:c>
      <x:c r="G36" s="11" t="n">
        <x:v>0.85</x:v>
      </x:c>
      <x:c r="H36" s="11" t="n">
        <x:v>46147.701944444445</x:v>
      </x:c>
      <x:c r="I36" s="11" t="str">
        <x:v>G2_TOPIC_MODELING_METHOD</x:v>
      </x:c>
      <x:c r="J36" s="11" t="str">
        <x:v>G7_VENUE_POSITIONING_PRECEDENT</x:v>
      </x:c>
      <x:c r="K36" s="11" t="str"/>
      <x:c r="L36" s="11" t="str">
        <x:v>High</x:v>
      </x:c>
      <x:c r="M36" s="11" t="str">
        <x:v>GREEN</x:v>
      </x:c>
      <x:c r="N36" s="11" t="str">
        <x:v>Not Started</x:v>
      </x:c>
      <x:c r="O36" s="11" t="str">
        <x:v>NB02_Topic_Modeling_Methods</x:v>
      </x:c>
      <x:c r="P36" s="11" t="str">
        <x:v>P00_UNIVERSAL_SOURCE_EXTRACTION + P02_TOPIC_MODELING_METHOD + P07_VENUE_PRECEDENT</x:v>
      </x:c>
      <x:c r="Q36" s="11" t="str">
        <x:v>[G2_TOPIC_MODELING_METHOD] What method is used? What corpus? What validation strategy? Topic number K if any? What preprocessing choices? Does it discuss short texts, Spanish, interpretability, or alternatives to LDA?
[G7_VENUE_POSITIONING_PRECEDENT] What journal published this? Why is it a precedent? Which side of the paper’s niche does it cover: method, object, region, or theory? Is it a competitor, complement, or legitimating precedent?</x:v>
      </x:c>
      <x:c r="R36" s="11" t="str">
        <x:v>PDF_035_OSNABRUGGE_ETAL_2023.md</x:v>
      </x:c>
      <x:c r="S36" s="11" t="str">
        <x:v>Cross-domain topic classification; social media campaign content comparator</x:v>
      </x:c>
      <x:c r="T36" s="11" t="str"/>
      <x:c r="U36" s="11" t="str">
        <x:v>No</x:v>
      </x:c>
      <x:c r="V36" s="11" t="str">
        <x:v>No</x:v>
      </x:c>
      <x:c r="W36" s="11" t="str">
        <x:v>No</x:v>
      </x:c>
      <x:c r="X36" s="11" t="str"/>
    </x:row>
    <x:row r="37" ht="45" customHeight="1">
      <x:c r="A37" s="11" t="str">
        <x:v>PDF_036</x:v>
      </x:c>
      <x:c r="B37" s="11" t="str">
        <x:v>PACHECO_2024.pdf</x:v>
      </x:c>
      <x:c r="C37" s="11" t="str">
        <x:v>PACHECO_2024.pdf</x:v>
      </x:c>
      <x:c r="D37" s="11" t="str">
        <x:v>ROOT</x:v>
      </x:c>
      <x:c r="E37" s="11" t="str">
        <x:v>PACHECO</x:v>
      </x:c>
      <x:c r="F37" s="11" t="str">
        <x:v>2024</x:v>
      </x:c>
      <x:c r="G37" s="11" t="n">
        <x:v>3.06</x:v>
      </x:c>
      <x:c r="H37" s="11" t="n">
        <x:v>46147.76076388889</x:v>
      </x:c>
      <x:c r="I37" s="11" t="str">
        <x:v>G4_CHILE_LATAM_CASE_CONTEXT</x:v>
      </x:c>
      <x:c r="J37" s="11" t="str">
        <x:v>G3_PLATFORMIZATION_DIGITAL_POLITICS</x:v>
      </x:c>
      <x:c r="K37" s="11" t="str"/>
      <x:c r="L37" s="11" t="str">
        <x:v>Review</x:v>
      </x:c>
      <x:c r="M37" s="11" t="str">
        <x:v>YELLOW</x:v>
      </x:c>
      <x:c r="N37" s="11" t="str">
        <x:v>Not Started</x:v>
      </x:c>
      <x:c r="O37" s="11" t="str">
        <x:v>NB04_Chile_LatAm_Context</x:v>
      </x:c>
      <x:c r="P37" s="11" t="str">
        <x:v>P00_UNIVERSAL_SOURCE_EXTRACTION + P04_CHILE_LATAM_CONTEXT + P03_PLATFORMIZATION_DIGITAL_POLITICS</x:v>
      </x:c>
      <x:c r="Q37" s="11" t="str">
        <x:v>[G4_CHILE_LATAM_CASE_CONTEXT] Which country/election is studied? What makes the context distinctive? Does it discuss Chile 2021, post-2019 politics, party fragmentation, LatAm platforms, or regional campaign practices?
[G3_PLATFORMIZATION_DIGITAL_POLITICS] How does the source define digitalization/platformization? What mechanisms are named? Does it treat platforms as passive channels or active infrastructures? Is the pattern global, local, or comparative?</x:v>
      </x:c>
      <x:c r="R37" s="11" t="str">
        <x:v>PDF_036_PACHECO_2024.md</x:v>
      </x:c>
      <x:c r="S37" s="11" t="str">
        <x:v>LatAm/Chile possible digital politics; verify exact object</x:v>
      </x:c>
      <x:c r="T37" s="11" t="str">
        <x:v>Yes - verify classification</x:v>
      </x:c>
      <x:c r="U37" s="11" t="str">
        <x:v>No</x:v>
      </x:c>
      <x:c r="V37" s="11" t="str">
        <x:v>No</x:v>
      </x:c>
      <x:c r="W37" s="11" t="str">
        <x:v>No</x:v>
      </x:c>
      <x:c r="X37" s="11" t="str"/>
    </x:row>
    <x:row r="38" ht="45" customHeight="1">
      <x:c r="A38" s="11" t="str">
        <x:v>PDF_037</x:v>
      </x:c>
      <x:c r="B38" s="11" t="str">
        <x:v>PALLISTER_2024.pdf</x:v>
      </x:c>
      <x:c r="C38" s="11" t="str">
        <x:v>PALLISTER_2024.pdf</x:v>
      </x:c>
      <x:c r="D38" s="11" t="str">
        <x:v>ROOT</x:v>
      </x:c>
      <x:c r="E38" s="11" t="str">
        <x:v>PALLISTER</x:v>
      </x:c>
      <x:c r="F38" s="11" t="str">
        <x:v>2024</x:v>
      </x:c>
      <x:c r="G38" s="11" t="n">
        <x:v>0.35</x:v>
      </x:c>
      <x:c r="H38" s="11" t="n">
        <x:v>46147.77092592593</x:v>
      </x:c>
      <x:c r="I38" s="11" t="str">
        <x:v>G4_CHILE_LATAM_CASE_CONTEXT</x:v>
      </x:c>
      <x:c r="J38" s="11" t="str">
        <x:v>G7_VENUE_POSITIONING_PRECEDENT</x:v>
      </x:c>
      <x:c r="K38" s="11" t="str">
        <x:v>G1_PAID_ADS_OBJECT</x:v>
      </x:c>
      <x:c r="L38" s="11" t="str">
        <x:v>High</x:v>
      </x:c>
      <x:c r="M38" s="11" t="str">
        <x:v>GREEN</x:v>
      </x:c>
      <x:c r="N38" s="11" t="str">
        <x:v>Not Started</x:v>
      </x:c>
      <x:c r="O38" s="11" t="str">
        <x:v>NB04_Chile_LatAm_Context</x:v>
      </x:c>
      <x:c r="P38" s="11" t="str">
        <x:v>P00_UNIVERSAL_SOURCE_EXTRACTION + P04_CHILE_LATAM_CONTEXT + P07_VENUE_PRECEDENT + P01_PAID_ADS_OBJECT</x:v>
      </x:c>
      <x:c r="Q38" s="11" t="str">
        <x:v>[G4_CHILE_LATAM_CASE_CONTEXT] Which country/election is studied? What makes the context distinctive? Does it discuss Chile 2021, post-2019 politics, party fragmentation, LatAm platforms, or regional campaign practices?
[G7_VENUE_POSITIONING_PRECEDENT] What journal published this? Why is it a precedent? Which side of the paper’s niche does it cover: method, object, region, or theory? Is it a competitor, complement, or legitimating precedent?
[G1_PAID_ADS_OBJECT] Does the source study paid ads or organic posts? What platform? What targeting mechanism? What does it say about ad visibility, disclosure, persuasion, segmentation, or audience control?</x:v>
      </x:c>
      <x:c r="R38" s="11" t="str">
        <x:v>PDF_037_PALLISTER_2024.md</x:v>
      </x:c>
      <x:c r="S38" s="11" t="str">
        <x:v>Argentina presidential campaign messaging; close LatAm analogue</x:v>
      </x:c>
      <x:c r="T38" s="11" t="str"/>
      <x:c r="U38" s="11" t="str">
        <x:v>No</x:v>
      </x:c>
      <x:c r="V38" s="11" t="str">
        <x:v>No</x:v>
      </x:c>
      <x:c r="W38" s="11" t="str">
        <x:v>No</x:v>
      </x:c>
      <x:c r="X38" s="11" t="str"/>
    </x:row>
    <x:row r="39" ht="45" customHeight="1">
      <x:c r="A39" s="11" t="str">
        <x:v>PDF_038</x:v>
      </x:c>
      <x:c r="B39" s="11" t="str">
        <x:v>PENUCCI_2024.pdf</x:v>
      </x:c>
      <x:c r="C39" s="11" t="str">
        <x:v>PENUCCI_2024.pdf</x:v>
      </x:c>
      <x:c r="D39" s="11" t="str">
        <x:v>ROOT</x:v>
      </x:c>
      <x:c r="E39" s="11" t="str">
        <x:v>PENUCCI</x:v>
      </x:c>
      <x:c r="F39" s="11" t="str">
        <x:v>2024</x:v>
      </x:c>
      <x:c r="G39" s="11" t="n">
        <x:v>6.55</x:v>
      </x:c>
      <x:c r="H39" s="11" t="n">
        <x:v>46147.775671296295</x:v>
      </x:c>
      <x:c r="I39" s="11" t="str">
        <x:v>G4_CHILE_LATAM_CASE_CONTEXT</x:v>
      </x:c>
      <x:c r="J39" s="11" t="str">
        <x:v>G3_PLATFORMIZATION_DIGITAL_POLITICS</x:v>
      </x:c>
      <x:c r="K39" s="11" t="str"/>
      <x:c r="L39" s="11" t="str">
        <x:v>Review</x:v>
      </x:c>
      <x:c r="M39" s="11" t="str">
        <x:v>YELLOW</x:v>
      </x:c>
      <x:c r="N39" s="11" t="str">
        <x:v>Not Started</x:v>
      </x:c>
      <x:c r="O39" s="11" t="str">
        <x:v>NB04_Chile_LatAm_Context</x:v>
      </x:c>
      <x:c r="P39" s="11" t="str">
        <x:v>P00_UNIVERSAL_SOURCE_EXTRACTION + P04_CHILE_LATAM_CONTEXT + P03_PLATFORMIZATION_DIGITAL_POLITICS</x:v>
      </x:c>
      <x:c r="Q39" s="11" t="str">
        <x:v>[G4_CHILE_LATAM_CASE_CONTEXT] Which country/election is studied? What makes the context distinctive? Does it discuss Chile 2021, post-2019 politics, party fragmentation, LatAm platforms, or regional campaign practices?
[G3_PLATFORMIZATION_DIGITAL_POLITICS] How does the source define digitalization/platformization? What mechanisms are named? Does it treat platforms as passive channels or active infrastructures? Is the pattern global, local, or comparative?</x:v>
      </x:c>
      <x:c r="R39" s="11" t="str">
        <x:v>PDF_038_PENUCCI_2024.md</x:v>
      </x:c>
      <x:c r="S39" s="11" t="str">
        <x:v>LatAm/Chile possible digital politics; verify exact object</x:v>
      </x:c>
      <x:c r="T39" s="11" t="str">
        <x:v>Yes - verify classification</x:v>
      </x:c>
      <x:c r="U39" s="11" t="str">
        <x:v>No</x:v>
      </x:c>
      <x:c r="V39" s="11" t="str">
        <x:v>No</x:v>
      </x:c>
      <x:c r="W39" s="11" t="str">
        <x:v>No</x:v>
      </x:c>
      <x:c r="X39" s="11" t="str"/>
    </x:row>
    <x:row r="40" ht="45" customHeight="1">
      <x:c r="A40" s="11" t="str">
        <x:v>PDF_039</x:v>
      </x:c>
      <x:c r="B40" s="11" t="str">
        <x:v>SCHMOKEL_ETAL_2022.pdf</x:v>
      </x:c>
      <x:c r="C40" s="11" t="str">
        <x:v>SCHMOKEL_ETAL_2022.pdf</x:v>
      </x:c>
      <x:c r="D40" s="11" t="str">
        <x:v>ROOT</x:v>
      </x:c>
      <x:c r="E40" s="11" t="str">
        <x:v>SCHMOKEL_ETAL</x:v>
      </x:c>
      <x:c r="F40" s="11" t="str">
        <x:v>2022</x:v>
      </x:c>
      <x:c r="G40" s="11" t="n">
        <x:v>4.99</x:v>
      </x:c>
      <x:c r="H40" s="11" t="n">
        <x:v>46147.73971064815</x:v>
      </x:c>
      <x:c r="I40" s="11" t="str">
        <x:v>G3_PLATFORMIZATION_DIGITAL_POLITICS</x:v>
      </x:c>
      <x:c r="J40" s="11" t="str">
        <x:v>G5_ETHICS_MANIPULATION_RISK</x:v>
      </x:c>
      <x:c r="K40" s="11" t="str"/>
      <x:c r="L40" s="11" t="str">
        <x:v>Medium</x:v>
      </x:c>
      <x:c r="M40" s="11" t="str">
        <x:v>YELLOW</x:v>
      </x:c>
      <x:c r="N40" s="11" t="str">
        <x:v>Not Started</x:v>
      </x:c>
      <x:c r="O40" s="11" t="str">
        <x:v>NB03_Platformization_Digital_Politics</x:v>
      </x:c>
      <x:c r="P40" s="11" t="str">
        <x:v>P00_UNIVERSAL_SOURCE_EXTRACTION + P03_PLATFORMIZATION_DIGITAL_POLITICS + P05_ETHICS_MANIPULATION_RISK</x:v>
      </x:c>
      <x:c r="Q40" s="11" t="str">
        <x:v>[G3_PLATFORMIZATION_DIGITAL_POLITICS]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x:v>
      </x:c>
      <x:c r="R40" s="11" t="str">
        <x:v>PDF_039_SCHMOKEL_ETAL_2022.md</x:v>
      </x:c>
      <x:c r="S40" s="11" t="str">
        <x:v>Populist social media / comparative content; verify</x:v>
      </x:c>
      <x:c r="T40" s="11" t="str">
        <x:v>Yes - verify classification</x:v>
      </x:c>
      <x:c r="U40" s="11" t="str">
        <x:v>No</x:v>
      </x:c>
      <x:c r="V40" s="11" t="str">
        <x:v>No</x:v>
      </x:c>
      <x:c r="W40" s="11" t="str">
        <x:v>No</x:v>
      </x:c>
      <x:c r="X40" s="11" t="str"/>
    </x:row>
    <x:row r="41" ht="45" customHeight="1">
      <x:c r="A41" s="11" t="str">
        <x:v>PDF_040</x:v>
      </x:c>
      <x:c r="B41" s="11" t="str">
        <x:v>THEOCHARIS_ETAL_2021.pdf</x:v>
      </x:c>
      <x:c r="C41" s="11" t="str">
        <x:v>THEOCHARIS_ETAL_2021.pdf</x:v>
      </x:c>
      <x:c r="D41" s="11" t="str">
        <x:v>ROOT</x:v>
      </x:c>
      <x:c r="E41" s="11" t="str">
        <x:v>THEOCHARIS_ETAL</x:v>
      </x:c>
      <x:c r="F41" s="11" t="str">
        <x:v>2021</x:v>
      </x:c>
      <x:c r="G41" s="11" t="n">
        <x:v>0.42</x:v>
      </x:c>
      <x:c r="H41" s="11" t="n">
        <x:v>46147.656168981484</x:v>
      </x:c>
      <x:c r="I41" s="11" t="str">
        <x:v>G3_PLATFORMIZATION_DIGITAL_POLITICS</x:v>
      </x:c>
      <x:c r="J41" s="11" t="str">
        <x:v>G2_TOPIC_MODELING_METHOD</x:v>
      </x:c>
      <x:c r="K41" s="11" t="str">
        <x:v>G7_VENUE_POSITIONING_PRECEDENT</x:v>
      </x:c>
      <x:c r="L41" s="11" t="str">
        <x:v>High</x:v>
      </x:c>
      <x:c r="M41" s="11" t="str">
        <x:v>GREEN</x:v>
      </x:c>
      <x:c r="N41" s="11" t="str">
        <x:v>Not Started</x:v>
      </x:c>
      <x:c r="O41" s="11" t="str">
        <x:v>NB03_Platformization_Digital_Politics</x:v>
      </x:c>
      <x:c r="P41" s="11" t="str">
        <x:v>P00_UNIVERSAL_SOURCE_EXTRACTION + P03_PLATFORMIZATION_DIGITAL_POLITICS + P02_TOPIC_MODELING_METHOD + P07_VENUE_PRECEDENT</x:v>
      </x:c>
      <x:c r="Q41" s="11" t="str">
        <x:v>[G3_PLATFORMIZATION_DIGITAL_POLITICS] How does the source define digitalization/platformization? What mechanisms are named? Does it treat platforms as passive channels or active infrastructures? Is the pattern global, local, or comparative?
[G2_TOPIC_MODELING_METHOD] What method is used? What corpus? What validation strategy? Topic number K if any? What preprocessing choices? Does it discuss short texts, Spanish, interpretability, or alternatives to LDA?
[G7_VENUE_POSITIONING_PRECEDENT] What journal published this? Why is it a precedent? Which side of the paper’s niche does it cover: method, object, region, or theory? Is it a competitor, complement, or legitimating precedent?</x:v>
      </x:c>
      <x:c r="R41" s="11" t="str">
        <x:v>PDF_040_THEOCHARIS_ETAL_2021.md</x:v>
      </x:c>
      <x:c r="S41" s="11" t="str">
        <x:v>Computational political communication special issue/editorial</x:v>
      </x:c>
      <x:c r="T41" s="11" t="str"/>
      <x:c r="U41" s="11" t="str">
        <x:v>No</x:v>
      </x:c>
      <x:c r="V41" s="11" t="str">
        <x:v>No</x:v>
      </x:c>
      <x:c r="W41" s="11" t="str">
        <x:v>No</x:v>
      </x:c>
      <x:c r="X41" s="11" t="str"/>
    </x:row>
    <x:row r="42" ht="45" customHeight="1">
      <x:c r="A42" s="11" t="str">
        <x:v>PDF_041</x:v>
      </x:c>
      <x:c r="B42" s="11" t="str">
        <x:v>THORSON_ETAL_2019.pdf</x:v>
      </x:c>
      <x:c r="C42" s="11" t="str">
        <x:v>THORSON_ETAL_2019.pdf</x:v>
      </x:c>
      <x:c r="D42" s="11" t="str">
        <x:v>ROOT</x:v>
      </x:c>
      <x:c r="E42" s="11" t="str">
        <x:v>THORSON_ETAL</x:v>
      </x:c>
      <x:c r="F42" s="11" t="str">
        <x:v>2019</x:v>
      </x:c>
      <x:c r="G42" s="11" t="n">
        <x:v>2.29</x:v>
      </x:c>
      <x:c r="H42" s="11" t="n">
        <x:v>46147.71511574074</x:v>
      </x:c>
      <x:c r="I42" s="11" t="str">
        <x:v>G1_PAID_ADS_OBJECT</x:v>
      </x:c>
      <x:c r="J42" s="11" t="str">
        <x:v>G5_ETHICS_MANIPULATION_RISK</x:v>
      </x:c>
      <x:c r="K42" s="11" t="str"/>
      <x:c r="L42" s="11" t="str">
        <x:v>Medium</x:v>
      </x:c>
      <x:c r="M42" s="11" t="str">
        <x:v>YELLOW</x:v>
      </x:c>
      <x:c r="N42" s="11" t="str">
        <x:v>Not Started</x:v>
      </x:c>
      <x:c r="O42" s="11" t="str">
        <x:v>NB01_Paid_Digital_Ads</x:v>
      </x:c>
      <x:c r="P42" s="11" t="str">
        <x:v>P00_UNIVERSAL_SOURCE_EXTRACTION + P01_PAID_ADS_OBJECT + P05_ETHICS_MANIPULATION_RISK</x:v>
      </x:c>
      <x:c r="Q42" s="11" t="str">
        <x:v>[G1_PAID_ADS_OBJECT] Does the source study paid ads or organic posts? What platform? What targeting mechanism? What does it say about ad visibility, disclosure, persuasion, segmentation, or audience control?
[G5_ETHICS_MANIPULATION_RISK] What democratic risk is identified? Is the concern manipulation, privacy, polarization, misinformation, opacity, unequal exposure, or persuasion? Does the source distinguish fear from evidence?</x:v>
      </x:c>
      <x:c r="R42" s="11" t="str">
        <x:v>PDF_041_THORSON_ETAL_2019.md</x:v>
      </x:c>
      <x:c r="S42" s="11" t="str">
        <x:v>Political advertising / targeted exposure likely relevant; verify object</x:v>
      </x:c>
      <x:c r="T42" s="11" t="str">
        <x:v>Yes - verify classification</x:v>
      </x:c>
      <x:c r="U42" s="11" t="str">
        <x:v>No</x:v>
      </x:c>
      <x:c r="V42" s="11" t="str">
        <x:v>No</x:v>
      </x:c>
      <x:c r="W42" s="11" t="str">
        <x:v>No</x:v>
      </x:c>
      <x:c r="X42" s="11" t="str"/>
    </x:row>
    <x:row r="43" ht="45" customHeight="1">
      <x:c r="A43" s="11" t="str">
        <x:v>PDF_042</x:v>
      </x:c>
      <x:c r="B43" s="11" t="str">
        <x:v>UNULU_2024.pdf</x:v>
      </x:c>
      <x:c r="C43" s="11" t="str">
        <x:v>UNULU_2024.pdf</x:v>
      </x:c>
      <x:c r="D43" s="11" t="str">
        <x:v>ROOT</x:v>
      </x:c>
      <x:c r="E43" s="11" t="str">
        <x:v>UNULU</x:v>
      </x:c>
      <x:c r="F43" s="11" t="str">
        <x:v>2024</x:v>
      </x:c>
      <x:c r="G43" s="11" t="n">
        <x:v>0.84</x:v>
      </x:c>
      <x:c r="H43" s="11" t="n">
        <x:v>46147.710335648146</x:v>
      </x:c>
      <x:c r="I43" s="11" t="str">
        <x:v>G3_PLATFORMIZATION_DIGITAL_POLITICS</x:v>
      </x:c>
      <x:c r="J43" s="11" t="str">
        <x:v>G2_TOPIC_MODELING_METHOD</x:v>
      </x:c>
      <x:c r="K43" s="11" t="str"/>
      <x:c r="L43" s="11" t="str">
        <x:v>Medium</x:v>
      </x:c>
      <x:c r="M43" s="11" t="str">
        <x:v>YELLOW</x:v>
      </x:c>
      <x:c r="N43" s="11" t="str">
        <x:v>Not Started</x:v>
      </x:c>
      <x:c r="O43" s="11" t="str">
        <x:v>NB03_Platformization_Digital_Politics</x:v>
      </x:c>
      <x:c r="P43" s="11" t="str">
        <x:v>P00_UNIVERSAL_SOURCE_EXTRACTION + P03_PLATFORMIZATION_DIGITAL_POLITICS + P02_TOPIC_MODELING_METHOD</x:v>
      </x:c>
      <x:c r="Q43" s="11" t="str">
        <x:v>[G3_PLATFORMIZATION_DIGITAL_POLITICS] How does the source define digitalization/platformization? What mechanisms are named? Does it treat platforms as passive channels or active infrastructures? Is the pattern global, local, or comparative?
[G2_TOPIC_MODELING_METHOD] What method is used? What corpus? What validation strategy? Topic number K if any? What preprocessing choices? Does it discuss short texts, Spanish, interpretability, or alternatives to LDA?</x:v>
      </x:c>
      <x:c r="R43" s="11" t="str">
        <x:v>PDF_042_UNULU_2024.md</x:v>
      </x:c>
      <x:c r="S43" s="11" t="str">
        <x:v>Topic modeling/misinformation agenda; verify exact object</x:v>
      </x:c>
      <x:c r="T43" s="11" t="str">
        <x:v>Yes - verify classification</x:v>
      </x:c>
      <x:c r="U43" s="11" t="str">
        <x:v>No</x:v>
      </x:c>
      <x:c r="V43" s="11" t="str">
        <x:v>No</x:v>
      </x:c>
      <x:c r="W43" s="11" t="str">
        <x:v>No</x:v>
      </x:c>
      <x:c r="X43" s="11" t="str"/>
    </x:row>
    <x:row r="44" ht="45" customHeight="1">
      <x:c r="A44" s="11" t="str">
        <x:v>PDF_043</x:v>
      </x:c>
      <x:c r="B44" s="11" t="str">
        <x:v>VRIELINK_ETAL_2025.pdf</x:v>
      </x:c>
      <x:c r="C44" s="11" t="str">
        <x:v>VRIELINK_ETAL_2025.pdf</x:v>
      </x:c>
      <x:c r="D44" s="11" t="str">
        <x:v>ROOT</x:v>
      </x:c>
      <x:c r="E44" s="11" t="str">
        <x:v>VRIELINK_ETAL</x:v>
      </x:c>
      <x:c r="F44" s="11" t="str">
        <x:v>2025</x:v>
      </x:c>
      <x:c r="G44" s="11" t="n">
        <x:v>0.76</x:v>
      </x:c>
      <x:c r="H44" s="11" t="n">
        <x:v>46147.725949074076</x:v>
      </x:c>
      <x:c r="I44" s="11" t="str">
        <x:v>G1_PAID_ADS_OBJECT</x:v>
      </x:c>
      <x:c r="J44" s="11" t="str">
        <x:v>G5_ETHICS_MANIPULATION_RISK</x:v>
      </x:c>
      <x:c r="K44" s="11" t="str">
        <x:v>G7_VENUE_POSITIONING_PRECEDENT</x:v>
      </x:c>
      <x:c r="L44" s="11" t="str">
        <x:v>High</x:v>
      </x:c>
      <x:c r="M44" s="11" t="str">
        <x:v>GREEN</x:v>
      </x:c>
      <x:c r="N44" s="11" t="str">
        <x:v>Not Started</x:v>
      </x:c>
      <x:c r="O44" s="11" t="str">
        <x:v>NB01_Paid_Digital_Ads</x:v>
      </x:c>
      <x:c r="P44" s="11" t="str">
        <x:v>P00_UNIVERSAL_SOURCE_EXTRACTION + P01_PAID_ADS_OBJECT + P05_ETHICS_MANIPULATION_RISK + P07_VENUE_PRECEDENT</x:v>
      </x:c>
      <x:c r="Q44" s="11" t="str">
        <x:v>[G1_PAID_ADS_OBJECT] Does the source study paid ads or organic posts? What platform? What targeting mechanism? What does it say about ad visibility, disclosure, persuasion, segmentation, or audience control?
[G5_ETHICS_MANIPULATION_RISK] What democratic risk is identified? Is the concern manipulation, privacy, polarization, misinformation, opacity, unequal exposure, or persuasion? Does the source distinguish fear from evidence?
[G7_VENUE_POSITIONING_PRECEDENT] What journal published this? Why is it a precedent? Which side of the paper’s niche does it cover: method, object, region, or theory? Is it a competitor, complement, or legitimating precedent?</x:v>
      </x:c>
      <x:c r="R44" s="11" t="str">
        <x:v>PDF_043_VRIELINK_ETAL_2025.md</x:v>
      </x:c>
      <x:c r="S44" s="11" t="str">
        <x:v>Targeted online ads and perceived issue importance; direct competitor/anchor</x:v>
      </x:c>
      <x:c r="T44" s="11" t="str"/>
      <x:c r="U44" s="11" t="str">
        <x:v>No</x:v>
      </x:c>
      <x:c r="V44" s="11" t="str">
        <x:v>No</x:v>
      </x:c>
      <x:c r="W44" s="11" t="str">
        <x:v>No</x:v>
      </x:c>
      <x:c r="X44" s="11" t="str"/>
    </x:row>
    <x:row r="45" ht="45" customHeight="1">
      <x:c r="A45" s="11" t="str">
        <x:v>PDF_044</x:v>
      </x:c>
      <x:c r="B45" s="11" t="str">
        <x:v>WANG_2024.pdf</x:v>
      </x:c>
      <x:c r="C45" s="11" t="str">
        <x:v>WANG_2024.pdf</x:v>
      </x:c>
      <x:c r="D45" s="11" t="str">
        <x:v>ROOT</x:v>
      </x:c>
      <x:c r="E45" s="11" t="str">
        <x:v>WANG</x:v>
      </x:c>
      <x:c r="F45" s="11" t="str">
        <x:v>2024</x:v>
      </x:c>
      <x:c r="G45" s="11" t="n">
        <x:v>0.28</x:v>
      </x:c>
      <x:c r="H45" s="11" t="n">
        <x:v>46147.70101851852</x:v>
      </x:c>
      <x:c r="I45" s="11" t="str">
        <x:v>G2_TOPIC_MODELING_METHOD</x:v>
      </x:c>
      <x:c r="J45" s="11" t="str">
        <x:v>G7_VENUE_POSITIONING_PRECEDENT</x:v>
      </x:c>
      <x:c r="K45" s="11" t="str"/>
      <x:c r="L45" s="11" t="str">
        <x:v>High</x:v>
      </x:c>
      <x:c r="M45" s="11" t="str">
        <x:v>GREEN</x:v>
      </x:c>
      <x:c r="N45" s="11" t="str">
        <x:v>Not Started</x:v>
      </x:c>
      <x:c r="O45" s="11" t="str">
        <x:v>NB02_Topic_Modeling_Methods</x:v>
      </x:c>
      <x:c r="P45" s="11" t="str">
        <x:v>P00_UNIVERSAL_SOURCE_EXTRACTION + P02_TOPIC_MODELING_METHOD + P07_VENUE_PRECEDENT</x:v>
      </x:c>
      <x:c r="Q45" s="11" t="str">
        <x:v>[G2_TOPIC_MODELING_METHOD] What method is used? What corpus? What validation strategy? Topic number K if any? What preprocessing choices? Does it discuss short texts, Spanish, interpretability, or alternatives to LDA?
[G7_VENUE_POSITIONING_PRECEDENT] What journal published this? Why is it a precedent? Which side of the paper’s niche does it cover: method, object, region, or theory? Is it a competitor, complement, or legitimating precedent?</x:v>
      </x:c>
      <x:c r="R45" s="11" t="str">
        <x:v>PDF_044_WANG_2024.md</x:v>
      </x:c>
      <x:c r="S45" s="11" t="str">
        <x:v>Topic classification with pretrained language models; LDA alternative</x:v>
      </x:c>
      <x:c r="T45" s="11" t="str"/>
      <x:c r="U45" s="11" t="str">
        <x:v>No</x:v>
      </x:c>
      <x:c r="V45" s="11" t="str">
        <x:v>No</x:v>
      </x:c>
      <x:c r="W45" s="11" t="str">
        <x:v>No</x:v>
      </x:c>
      <x:c r="X45" s="11" t="str"/>
    </x:row>
    <x:row r="46" ht="45" customHeight="1">
      <x:c r="A46" s="11" t="str">
        <x:v>PDF_045</x:v>
      </x:c>
      <x:c r="B46" s="11" t="str">
        <x:v>WIRSCHING_ETAL_2025.pdf</x:v>
      </x:c>
      <x:c r="C46" s="11" t="str">
        <x:v>WIRSCHING_ETAL_2025.pdf</x:v>
      </x:c>
      <x:c r="D46" s="11" t="str">
        <x:v>ROOT</x:v>
      </x:c>
      <x:c r="E46" s="11" t="str">
        <x:v>WIRSCHING_ETAL</x:v>
      </x:c>
      <x:c r="F46" s="11" t="str">
        <x:v>2025</x:v>
      </x:c>
      <x:c r="G46" s="11" t="n">
        <x:v>0.44</x:v>
      </x:c>
      <x:c r="H46" s="11" t="n">
        <x:v>46147.665</x:v>
      </x:c>
      <x:c r="I46" s="11" t="str">
        <x:v>G2_TOPIC_MODELING_METHOD</x:v>
      </x:c>
      <x:c r="J46" s="11" t="str">
        <x:v>G7_VENUE_POSITIONING_PRECEDENT</x:v>
      </x:c>
      <x:c r="K46" s="11" t="str"/>
      <x:c r="L46" s="11" t="str">
        <x:v>High</x:v>
      </x:c>
      <x:c r="M46" s="11" t="str">
        <x:v>GREEN</x:v>
      </x:c>
      <x:c r="N46" s="11" t="str">
        <x:v>Not Started</x:v>
      </x:c>
      <x:c r="O46" s="11" t="str">
        <x:v>NB02_Topic_Modeling_Methods</x:v>
      </x:c>
      <x:c r="P46" s="11" t="str">
        <x:v>P00_UNIVERSAL_SOURCE_EXTRACTION + P02_TOPIC_MODELING_METHOD + P07_VENUE_PRECEDENT</x:v>
      </x:c>
      <x:c r="Q46" s="11" t="str">
        <x:v>[G2_TOPIC_MODELING_METHOD] What method is used? What corpus? What validation strategy? Topic number K if any? What preprocessing choices? Does it discuss short texts, Spanish, interpretability, or alternatives to LDA?
[G7_VENUE_POSITIONING_PRECEDENT] What journal published this? Why is it a precedent? Which side of the paper’s niche does it cover: method, object, region, or theory? Is it a competitor, complement, or legitimating precedent?</x:v>
      </x:c>
      <x:c r="R46" s="11" t="str">
        <x:v>PDF_045_WIRSCHING_ETAL_2025.md</x:v>
      </x:c>
      <x:c r="S46" s="11" t="str">
        <x:v>Multilingual embeddings / Spanish-language computational infrastructure</x:v>
      </x:c>
      <x:c r="T46" s="11" t="str"/>
      <x:c r="U46" s="11" t="str">
        <x:v>No</x:v>
      </x:c>
      <x:c r="V46" s="11" t="str">
        <x:v>No</x:v>
      </x:c>
      <x:c r="W46" s="11" t="str">
        <x:v>No</x:v>
      </x:c>
      <x:c r="X46" s="11" t="str"/>
    </x:row>
    <x:row r="47" ht="45" customHeight="1">
      <x:c r="A47" s="11" t="str">
        <x:v>PDF_046</x:v>
      </x:c>
      <x:c r="B47" s="11" t="str">
        <x:v>YANG_ETAL_2023.pdf</x:v>
      </x:c>
      <x:c r="C47" s="11" t="str">
        <x:v>YANG_ETAL_2023.pdf</x:v>
      </x:c>
      <x:c r="D47" s="11" t="str">
        <x:v>ROOT</x:v>
      </x:c>
      <x:c r="E47" s="11" t="str">
        <x:v>YANG_ETAL</x:v>
      </x:c>
      <x:c r="F47" s="11" t="str">
        <x:v>2023</x:v>
      </x:c>
      <x:c r="G47" s="11" t="n">
        <x:v>0.73</x:v>
      </x:c>
      <x:c r="H47" s="11" t="n">
        <x:v>46147.66339120371</x:v>
      </x:c>
      <x:c r="I47" s="11" t="str">
        <x:v>G3_PLATFORMIZATION_DIGITAL_POLITICS</x:v>
      </x:c>
      <x:c r="J47" s="11" t="str">
        <x:v>G5_ETHICS_MANIPULATION_RISK</x:v>
      </x:c>
      <x:c r="K47" s="11" t="str"/>
      <x:c r="L47" s="11" t="str">
        <x:v>Medium</x:v>
      </x:c>
      <x:c r="M47" s="11" t="str">
        <x:v>YELLOW</x:v>
      </x:c>
      <x:c r="N47" s="11" t="str">
        <x:v>Not Started</x:v>
      </x:c>
      <x:c r="O47" s="11" t="str">
        <x:v>NB03_Platformization_Digital_Politics</x:v>
      </x:c>
      <x:c r="P47" s="11" t="str">
        <x:v>P00_UNIVERSAL_SOURCE_EXTRACTION + P03_PLATFORMIZATION_DIGITAL_POLITICS + P05_ETHICS_MANIPULATION_RISK</x:v>
      </x:c>
      <x:c r="Q47" s="11" t="str">
        <x:v>[G3_PLATFORMIZATION_DIGITAL_POLITICS] How does the source define digitalization/platformization? What mechanisms are named? Does it treat platforms as passive channels or active infrastructures? Is the pattern global, local, or comparative?
[G5_ETHICS_MANIPULATION_RISK] What democratic risk is identified? Is the concern manipulation, privacy, polarization, misinformation, opacity, unequal exposure, or persuasion? Does the source distinguish fear from evidence?</x:v>
      </x:c>
      <x:c r="R47" s="11" t="str">
        <x:v>PDF_046_YANG_ETAL_2023.md</x:v>
      </x:c>
      <x:c r="S47" s="11" t="str">
        <x:v>Visual misinformation on Facebook; limitation/complement</x:v>
      </x:c>
      <x:c r="T47" s="11" t="str">
        <x:v>Yes - verify classification</x:v>
      </x:c>
      <x:c r="U47" s="11" t="str">
        <x:v>No</x:v>
      </x:c>
      <x:c r="V47" s="11" t="str">
        <x:v>No</x:v>
      </x:c>
      <x:c r="W47" s="11" t="str">
        <x:v>No</x:v>
      </x:c>
      <x:c r="X47" s="11" t="str"/>
    </x:row>
    <x:row r="48" ht="45" customHeight="1">
      <x:c r="A48" s="11" t="str">
        <x:v>PDF_047</x:v>
      </x:c>
      <x:c r="B48" s="11" t="str">
        <x:v>ZHAO_ETAL_2024.pdf</x:v>
      </x:c>
      <x:c r="C48" s="11" t="str">
        <x:v>ZHAO_ETAL_2024.pdf</x:v>
      </x:c>
      <x:c r="D48" s="11" t="str">
        <x:v>ROOT</x:v>
      </x:c>
      <x:c r="E48" s="11" t="str">
        <x:v>ZHAO_ETAL</x:v>
      </x:c>
      <x:c r="F48" s="11" t="str">
        <x:v>2024</x:v>
      </x:c>
      <x:c r="G48" s="11" t="n">
        <x:v>3.36</x:v>
      </x:c>
      <x:c r="H48" s="11" t="n">
        <x:v>46147.77638888889</x:v>
      </x:c>
      <x:c r="I48" s="11" t="str">
        <x:v>G3_PLATFORMIZATION_DIGITAL_POLITICS</x:v>
      </x:c>
      <x:c r="J48" s="11" t="str">
        <x:v>G2_TOPIC_MODELING_METHOD</x:v>
      </x:c>
      <x:c r="K48" s="11" t="str"/>
      <x:c r="L48" s="11" t="str">
        <x:v>Review</x:v>
      </x:c>
      <x:c r="M48" s="11" t="str">
        <x:v>YELLOW</x:v>
      </x:c>
      <x:c r="N48" s="11" t="str">
        <x:v>Not Started</x:v>
      </x:c>
      <x:c r="O48" s="11" t="str">
        <x:v>NB03_Platformization_Digital_Politics</x:v>
      </x:c>
      <x:c r="P48" s="11" t="str">
        <x:v>P00_UNIVERSAL_SOURCE_EXTRACTION + P03_PLATFORMIZATION_DIGITAL_POLITICS + P02_TOPIC_MODELING_METHOD</x:v>
      </x:c>
      <x:c r="Q48" s="11" t="str">
        <x:v>[G3_PLATFORMIZATION_DIGITAL_POLITICS] How does the source define digitalization/platformization? What mechanisms are named? Does it treat platforms as passive channels or active infrastructures? Is the pattern global, local, or comparative?
[G2_TOPIC_MODELING_METHOD] What method is used? What corpus? What validation strategy? Topic number K if any? What preprocessing choices? Does it discuss short texts, Spanish, interpretability, or alternatives to LDA?</x:v>
      </x:c>
      <x:c r="R48" s="11" t="str">
        <x:v>PDF_047_ZHAO_ETAL_2024.md</x:v>
      </x:c>
      <x:c r="S48" s="11" t="str">
        <x:v>Computational social media / verify object</x:v>
      </x:c>
      <x:c r="T48" s="11" t="str">
        <x:v>Yes - verify classification</x:v>
      </x:c>
      <x:c r="U48" s="11" t="str">
        <x:v>No</x:v>
      </x:c>
      <x:c r="V48" s="11" t="str">
        <x:v>No</x:v>
      </x:c>
      <x:c r="W48" s="11" t="str">
        <x:v>No</x:v>
      </x:c>
      <x:c r="X48" s="11" t="str"/>
    </x:row>
    <x:row r="49" ht="45" customHeight="1">
      <x:c r="A49" s="11" t="str">
        <x:v>PDF_048</x:v>
      </x:c>
      <x:c r="B49" s="11" t="str">
        <x:v>BackMatter-2019.pdf</x:v>
      </x:c>
      <x:c r="C49" s="11" t="str">
        <x:v>CHANDLER_FUCHS_eds\BackMatter-2019.pdf</x:v>
      </x:c>
      <x:c r="D49" s="11" t="str">
        <x:v>ROOT</x:v>
      </x:c>
      <x:c r="E49" s="11" t="str">
        <x:v>BackMatter</x:v>
      </x:c>
      <x:c r="F49" s="11" t="str">
        <x:v>2019</x:v>
      </x:c>
      <x:c r="G49" s="11" t="n">
        <x:v>0.87</x:v>
      </x:c>
      <x:c r="H49" s="11" t="n">
        <x:v>46147.66753472222</x:v>
      </x:c>
      <x:c r="I49" s="11" t="str">
        <x:v>AUX_METADATA_OR_FRONTMATTER</x:v>
      </x:c>
      <x:c r="J49" s="11" t="str"/>
      <x:c r="K49" s="11" t="str"/>
      <x:c r="L49" s="11" t="str">
        <x:v>Low</x:v>
      </x:c>
      <x:c r="M49" s="11" t="str">
        <x:v>GREEN</x:v>
      </x:c>
      <x:c r="N49" s="11" t="str">
        <x:v>Not Started</x:v>
      </x:c>
      <x:c r="O49" s="11" t="str">
        <x:v>NB00_Metadata_Only</x:v>
      </x:c>
      <x:c r="P49" s="11" t="str">
        <x:v>P00_UNIVERSAL_SOURCE_EXTRACTION</x:v>
      </x:c>
      <x:c r="Q49" s="11" t="str">
        <x:v>[AUX_METADATA_OR_FRONTMATTER] Do not run full extraction. Record bibliographic utility only: title, editors, book/journal container, chapter list, page range if available.</x:v>
      </x:c>
      <x:c r="R49" s="11" t="str">
        <x:v>PDF_048_BackMatter-2019.md</x:v>
      </x:c>
      <x:c r="S49" s="11" t="str">
        <x:v>Metadata/front matter; record only bibliographic utility unless Diego requests full extraction</x:v>
      </x:c>
      <x:c r="T49" s="11" t="str"/>
      <x:c r="U49" s="11" t="str">
        <x:v>No</x:v>
      </x:c>
      <x:c r="V49" s="11" t="str">
        <x:v>No</x:v>
      </x:c>
      <x:c r="W49" s="11" t="str">
        <x:v>No</x:v>
      </x:c>
      <x:c r="X49" s="11" t="str"/>
    </x:row>
    <x:row r="50" ht="45" customHeight="1">
      <x:c r="A50" s="11" t="str">
        <x:v>PDF_049</x:v>
      </x:c>
      <x:c r="B50" s="11" t="str">
        <x:v>Boehnert-ContradictionsTwitterSocial-2019.pdf</x:v>
      </x:c>
      <x:c r="C50" s="11" t="str">
        <x:v>CHANDLER_FUCHS_eds\Boehnert-ContradictionsTwitterSocial-2019.pdf</x:v>
      </x:c>
      <x:c r="D50" s="11" t="str">
        <x:v>ROOT</x:v>
      </x:c>
      <x:c r="E50" s="11" t="str">
        <x:v>Boehnert-ContradictionsTwitterSocial</x:v>
      </x:c>
      <x:c r="F50" s="11" t="str">
        <x:v>2019</x:v>
      </x:c>
      <x:c r="G50" s="11" t="n">
        <x:v>1.31</x:v>
      </x:c>
      <x:c r="H50" s="11" t="n">
        <x:v>46147.661840277775</x:v>
      </x:c>
      <x:c r="I50" s="11" t="str">
        <x:v>G6_DIGITAL_CAPITALISM_PLATFORM_POWER</x:v>
      </x:c>
      <x:c r="J50" s="11" t="str">
        <x:v>G3_PLATFORMIZATION_DIGITAL_POLITICS</x:v>
      </x:c>
      <x:c r="K50" s="11" t="str"/>
      <x:c r="L50" s="11" t="str">
        <x:v>Medium</x:v>
      </x:c>
      <x:c r="M50" s="11" t="str">
        <x:v>YELLOW</x:v>
      </x:c>
      <x:c r="N50" s="11" t="str">
        <x:v>Not Started</x:v>
      </x:c>
      <x:c r="O50" s="11" t="str">
        <x:v>NB06_Digital_Capitalism_Platform_Power</x:v>
      </x:c>
      <x:c r="P50" s="11" t="str">
        <x:v>P00_UNIVERSAL_SOURCE_EXTRACTION + P06_DIGITAL_CAPITALISM_PLATFORM_POWER + P03_PLATFORMIZATION_DIGITAL_POLITICS</x:v>
      </x:c>
      <x:c r="Q50"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50" s="11" t="str">
        <x:v>PDF_049_Boehnert-ContradictionsTwitterSocial-2019.md</x:v>
      </x:c>
      <x:c r="S50" s="11" t="str">
        <x:v>Chandler/Fuchs chapter; classify conceptually after one-source extraction</x:v>
      </x:c>
      <x:c r="T50" s="11" t="str">
        <x:v>Yes - verify classification</x:v>
      </x:c>
      <x:c r="U50" s="11" t="str">
        <x:v>No</x:v>
      </x:c>
      <x:c r="V50" s="11" t="str">
        <x:v>No</x:v>
      </x:c>
      <x:c r="W50" s="11" t="str">
        <x:v>No</x:v>
      </x:c>
      <x:c r="X50" s="11" t="str"/>
    </x:row>
    <x:row r="51" ht="45" customHeight="1">
      <x:c r="A51" s="11" t="str">
        <x:v>PDF_050</x:v>
      </x:c>
      <x:c r="B51" s="11" t="str">
        <x:v>Brighi-BeyondRepression-2019.pdf</x:v>
      </x:c>
      <x:c r="C51" s="11" t="str">
        <x:v>CHANDLER_FUCHS_eds\Brighi-BeyondRepression-2019.pdf</x:v>
      </x:c>
      <x:c r="D51" s="11" t="str">
        <x:v>ROOT</x:v>
      </x:c>
      <x:c r="E51" s="11" t="str">
        <x:v>Brighi-BeyondRepression</x:v>
      </x:c>
      <x:c r="F51" s="11" t="str">
        <x:v>2019</x:v>
      </x:c>
      <x:c r="G51" s="11" t="n">
        <x:v>1.2</x:v>
      </x:c>
      <x:c r="H51" s="11" t="n">
        <x:v>46147.666967592595</x:v>
      </x:c>
      <x:c r="I51" s="11" t="str">
        <x:v>G6_DIGITAL_CAPITALISM_PLATFORM_POWER</x:v>
      </x:c>
      <x:c r="J51" s="11" t="str">
        <x:v>G3_PLATFORMIZATION_DIGITAL_POLITICS</x:v>
      </x:c>
      <x:c r="K51" s="11" t="str"/>
      <x:c r="L51" s="11" t="str">
        <x:v>Medium</x:v>
      </x:c>
      <x:c r="M51" s="11" t="str">
        <x:v>YELLOW</x:v>
      </x:c>
      <x:c r="N51" s="11" t="str">
        <x:v>Not Started</x:v>
      </x:c>
      <x:c r="O51" s="11" t="str">
        <x:v>NB06_Digital_Capitalism_Platform_Power</x:v>
      </x:c>
      <x:c r="P51" s="11" t="str">
        <x:v>P00_UNIVERSAL_SOURCE_EXTRACTION + P06_DIGITAL_CAPITALISM_PLATFORM_POWER + P03_PLATFORMIZATION_DIGITAL_POLITICS</x:v>
      </x:c>
      <x:c r="Q51"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51" s="11" t="str">
        <x:v>PDF_050_Brighi-BeyondRepression-2019.md</x:v>
      </x:c>
      <x:c r="S51" s="11" t="str">
        <x:v>Chandler/Fuchs chapter; classify conceptually after one-source extraction</x:v>
      </x:c>
      <x:c r="T51" s="11" t="str">
        <x:v>Yes - verify classification</x:v>
      </x:c>
      <x:c r="U51" s="11" t="str">
        <x:v>No</x:v>
      </x:c>
      <x:c r="V51" s="11" t="str">
        <x:v>No</x:v>
      </x:c>
      <x:c r="W51" s="11" t="str">
        <x:v>No</x:v>
      </x:c>
      <x:c r="X51" s="11" t="str"/>
    </x:row>
    <x:row r="52" ht="45" customHeight="1">
      <x:c r="A52" s="11" t="str">
        <x:v>PDF_051</x:v>
      </x:c>
      <x:c r="B52" s="11" t="str">
        <x:v>Chandler-DigitalGovernanceAnthropocene-2019.pdf</x:v>
      </x:c>
      <x:c r="C52" s="11" t="str">
        <x:v>CHANDLER_FUCHS_eds\Chandler-DigitalGovernanceAnthropocene-2019.pdf</x:v>
      </x:c>
      <x:c r="D52" s="11" t="str">
        <x:v>ROOT</x:v>
      </x:c>
      <x:c r="E52" s="11" t="str">
        <x:v>Chandler-DigitalGovernanceAnthropocene</x:v>
      </x:c>
      <x:c r="F52" s="11" t="str">
        <x:v>2019</x:v>
      </x:c>
      <x:c r="G52" s="11" t="n">
        <x:v>1.22</x:v>
      </x:c>
      <x:c r="H52" s="11" t="n">
        <x:v>46147.65872685185</x:v>
      </x:c>
      <x:c r="I52" s="11" t="str">
        <x:v>G6_DIGITAL_CAPITALISM_PLATFORM_POWER</x:v>
      </x:c>
      <x:c r="J52" s="11" t="str">
        <x:v>G3_PLATFORMIZATION_DIGITAL_POLITICS</x:v>
      </x:c>
      <x:c r="K52" s="11" t="str"/>
      <x:c r="L52" s="11" t="str">
        <x:v>High</x:v>
      </x:c>
      <x:c r="M52" s="11" t="str">
        <x:v>GREEN</x:v>
      </x:c>
      <x:c r="N52" s="11" t="str">
        <x:v>Not Started</x:v>
      </x:c>
      <x:c r="O52" s="11" t="str">
        <x:v>NB06_Digital_Capitalism_Platform_Power</x:v>
      </x:c>
      <x:c r="P52" s="11" t="str">
        <x:v>P00_UNIVERSAL_SOURCE_EXTRACTION + P06_DIGITAL_CAPITALISM_PLATFORM_POWER + P03_PLATFORMIZATION_DIGITAL_POLITICS</x:v>
      </x:c>
      <x:c r="Q52"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52" s="11" t="str">
        <x:v>PDF_051_Chandler-DigitalGovernanceAnthropocene-2019.md</x:v>
      </x:c>
      <x:c r="S52" s="11" t="str">
        <x:v>Chandler/Fuchs digital capitalism chapter; likely useful for broader conceptual framework</x:v>
      </x:c>
      <x:c r="T52" s="11" t="str"/>
      <x:c r="U52" s="11" t="str">
        <x:v>No</x:v>
      </x:c>
      <x:c r="V52" s="11" t="str">
        <x:v>No</x:v>
      </x:c>
      <x:c r="W52" s="11" t="str">
        <x:v>No</x:v>
      </x:c>
      <x:c r="X52" s="11" t="str"/>
    </x:row>
    <x:row r="53" ht="45" customHeight="1">
      <x:c r="A53" s="11" t="str">
        <x:v>PDF_052</x:v>
      </x:c>
      <x:c r="B53" s="11" t="str">
        <x:v>Chandler-StakeCritiqueBig-2019.pdf</x:v>
      </x:c>
      <x:c r="C53" s="11" t="str">
        <x:v>CHANDLER_FUCHS_eds\Chandler-StakeCritiqueBig-2019.pdf</x:v>
      </x:c>
      <x:c r="D53" s="11" t="str">
        <x:v>ROOT</x:v>
      </x:c>
      <x:c r="E53" s="11" t="str">
        <x:v>Chandler-StakeCritiqueBig</x:v>
      </x:c>
      <x:c r="F53" s="11" t="str">
        <x:v>2019</x:v>
      </x:c>
      <x:c r="G53" s="11" t="n">
        <x:v>1.06</x:v>
      </x:c>
      <x:c r="H53" s="11" t="n">
        <x:v>46147.66164351852</x:v>
      </x:c>
      <x:c r="I53" s="11" t="str">
        <x:v>G6_DIGITAL_CAPITALISM_PLATFORM_POWER</x:v>
      </x:c>
      <x:c r="J53" s="11" t="str">
        <x:v>G3_PLATFORMIZATION_DIGITAL_POLITICS</x:v>
      </x:c>
      <x:c r="K53" s="11" t="str"/>
      <x:c r="L53" s="11" t="str">
        <x:v>High</x:v>
      </x:c>
      <x:c r="M53" s="11" t="str">
        <x:v>GREEN</x:v>
      </x:c>
      <x:c r="N53" s="11" t="str">
        <x:v>Not Started</x:v>
      </x:c>
      <x:c r="O53" s="11" t="str">
        <x:v>NB06_Digital_Capitalism_Platform_Power</x:v>
      </x:c>
      <x:c r="P53" s="11" t="str">
        <x:v>P00_UNIVERSAL_SOURCE_EXTRACTION + P06_DIGITAL_CAPITALISM_PLATFORM_POWER + P03_PLATFORMIZATION_DIGITAL_POLITICS</x:v>
      </x:c>
      <x:c r="Q53"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53" s="11" t="str">
        <x:v>PDF_052_Chandler-StakeCritiqueBig-2019.md</x:v>
      </x:c>
      <x:c r="S53" s="11" t="str">
        <x:v>Chandler/Fuchs digital capitalism chapter; likely useful for broader conceptual framework</x:v>
      </x:c>
      <x:c r="T53" s="11" t="str"/>
      <x:c r="U53" s="11" t="str">
        <x:v>No</x:v>
      </x:c>
      <x:c r="V53" s="11" t="str">
        <x:v>No</x:v>
      </x:c>
      <x:c r="W53" s="11" t="str">
        <x:v>No</x:v>
      </x:c>
      <x:c r="X53" s="11" t="str"/>
    </x:row>
    <x:row r="54" ht="45" customHeight="1">
      <x:c r="A54" s="11" t="str">
        <x:v>PDF_053</x:v>
      </x:c>
      <x:c r="B54" s="11" t="str">
        <x:v>Cowley-PosthumanismSpectrum-2019.pdf</x:v>
      </x:c>
      <x:c r="C54" s="11" t="str">
        <x:v>CHANDLER_FUCHS_eds\Cowley-PosthumanismSpectrum-2019.pdf</x:v>
      </x:c>
      <x:c r="D54" s="11" t="str">
        <x:v>ROOT</x:v>
      </x:c>
      <x:c r="E54" s="11" t="str">
        <x:v>Cowley-PosthumanismSpectrum</x:v>
      </x:c>
      <x:c r="F54" s="11" t="str">
        <x:v>2019</x:v>
      </x:c>
      <x:c r="G54" s="11" t="n">
        <x:v>1.11</x:v>
      </x:c>
      <x:c r="H54" s="11" t="n">
        <x:v>46147.66174768518</x:v>
      </x:c>
      <x:c r="I54" s="11" t="str">
        <x:v>G6_DIGITAL_CAPITALISM_PLATFORM_POWER</x:v>
      </x:c>
      <x:c r="J54" s="11" t="str">
        <x:v>G3_PLATFORMIZATION_DIGITAL_POLITICS</x:v>
      </x:c>
      <x:c r="K54" s="11" t="str"/>
      <x:c r="L54" s="11" t="str">
        <x:v>Medium</x:v>
      </x:c>
      <x:c r="M54" s="11" t="str">
        <x:v>YELLOW</x:v>
      </x:c>
      <x:c r="N54" s="11" t="str">
        <x:v>Not Started</x:v>
      </x:c>
      <x:c r="O54" s="11" t="str">
        <x:v>NB06_Digital_Capitalism_Platform_Power</x:v>
      </x:c>
      <x:c r="P54" s="11" t="str">
        <x:v>P00_UNIVERSAL_SOURCE_EXTRACTION + P06_DIGITAL_CAPITALISM_PLATFORM_POWER + P03_PLATFORMIZATION_DIGITAL_POLITICS</x:v>
      </x:c>
      <x:c r="Q54"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54" s="11" t="str">
        <x:v>PDF_053_Cowley-PosthumanismSpectrum-2019.md</x:v>
      </x:c>
      <x:c r="S54" s="11" t="str">
        <x:v>Chandler/Fuchs chapter; classify conceptually after one-source extraction</x:v>
      </x:c>
      <x:c r="T54" s="11" t="str">
        <x:v>Yes - verify classification</x:v>
      </x:c>
      <x:c r="U54" s="11" t="str">
        <x:v>No</x:v>
      </x:c>
      <x:c r="V54" s="11" t="str">
        <x:v>No</x:v>
      </x:c>
      <x:c r="W54" s="11" t="str">
        <x:v>No</x:v>
      </x:c>
      <x:c r="X54" s="11" t="str"/>
    </x:row>
    <x:row r="55" ht="45" customHeight="1">
      <x:c r="A55" s="11" t="str">
        <x:v>PDF_054</x:v>
      </x:c>
      <x:c r="B55" s="11" t="str">
        <x:v>Dean-CritiqueCollectivity-2019.pdf</x:v>
      </x:c>
      <x:c r="C55" s="11" t="str">
        <x:v>CHANDLER_FUCHS_eds\Dean-CritiqueCollectivity-2019.pdf</x:v>
      </x:c>
      <x:c r="D55" s="11" t="str">
        <x:v>ROOT</x:v>
      </x:c>
      <x:c r="E55" s="11" t="str">
        <x:v>Dean-CritiqueCollectivity</x:v>
      </x:c>
      <x:c r="F55" s="11" t="str">
        <x:v>2019</x:v>
      </x:c>
      <x:c r="G55" s="11" t="n">
        <x:v>1.71</x:v>
      </x:c>
      <x:c r="H55" s="11" t="n">
        <x:v>46147.667129629626</x:v>
      </x:c>
      <x:c r="I55" s="11" t="str">
        <x:v>G6_DIGITAL_CAPITALISM_PLATFORM_POWER</x:v>
      </x:c>
      <x:c r="J55" s="11" t="str">
        <x:v>G3_PLATFORMIZATION_DIGITAL_POLITICS</x:v>
      </x:c>
      <x:c r="K55" s="11" t="str"/>
      <x:c r="L55" s="11" t="str">
        <x:v>Medium</x:v>
      </x:c>
      <x:c r="M55" s="11" t="str">
        <x:v>YELLOW</x:v>
      </x:c>
      <x:c r="N55" s="11" t="str">
        <x:v>Not Started</x:v>
      </x:c>
      <x:c r="O55" s="11" t="str">
        <x:v>NB06_Digital_Capitalism_Platform_Power</x:v>
      </x:c>
      <x:c r="P55" s="11" t="str">
        <x:v>P00_UNIVERSAL_SOURCE_EXTRACTION + P06_DIGITAL_CAPITALISM_PLATFORM_POWER + P03_PLATFORMIZATION_DIGITAL_POLITICS</x:v>
      </x:c>
      <x:c r="Q55"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55" s="11" t="str">
        <x:v>PDF_054_Dean-CritiqueCollectivity-2019.md</x:v>
      </x:c>
      <x:c r="S55" s="11" t="str">
        <x:v>Chandler/Fuchs chapter; classify conceptually after one-source extraction</x:v>
      </x:c>
      <x:c r="T55" s="11" t="str">
        <x:v>Yes - verify classification</x:v>
      </x:c>
      <x:c r="U55" s="11" t="str">
        <x:v>No</x:v>
      </x:c>
      <x:c r="V55" s="11" t="str">
        <x:v>No</x:v>
      </x:c>
      <x:c r="W55" s="11" t="str">
        <x:v>No</x:v>
      </x:c>
      <x:c r="X55" s="11" t="str"/>
    </x:row>
    <x:row r="56" ht="45" customHeight="1">
      <x:c r="A56" s="11" t="str">
        <x:v>PDF_055</x:v>
      </x:c>
      <x:c r="B56" s="11" t="str">
        <x:v>EditorsContributors-2019.pdf</x:v>
      </x:c>
      <x:c r="C56" s="11" t="str">
        <x:v>CHANDLER_FUCHS_eds\EditorsContributors-2019.pdf</x:v>
      </x:c>
      <x:c r="D56" s="11" t="str">
        <x:v>ROOT</x:v>
      </x:c>
      <x:c r="E56" s="11" t="str">
        <x:v>EditorsContributors</x:v>
      </x:c>
      <x:c r="F56" s="11" t="str">
        <x:v>2019</x:v>
      </x:c>
      <x:c r="G56" s="11" t="n">
        <x:v>1.17</x:v>
      </x:c>
      <x:c r="H56" s="11" t="n">
        <x:v>46147.66743055556</x:v>
      </x:c>
      <x:c r="I56" s="11" t="str">
        <x:v>AUX_METADATA_OR_FRONTMATTER</x:v>
      </x:c>
      <x:c r="J56" s="11" t="str"/>
      <x:c r="K56" s="11" t="str"/>
      <x:c r="L56" s="11" t="str">
        <x:v>Low</x:v>
      </x:c>
      <x:c r="M56" s="11" t="str">
        <x:v>GREEN</x:v>
      </x:c>
      <x:c r="N56" s="11" t="str">
        <x:v>Not Started</x:v>
      </x:c>
      <x:c r="O56" s="11" t="str">
        <x:v>NB00_Metadata_Only</x:v>
      </x:c>
      <x:c r="P56" s="11" t="str">
        <x:v>P00_UNIVERSAL_SOURCE_EXTRACTION</x:v>
      </x:c>
      <x:c r="Q56" s="11" t="str">
        <x:v>[AUX_METADATA_OR_FRONTMATTER] Do not run full extraction. Record bibliographic utility only: title, editors, book/journal container, chapter list, page range if available.</x:v>
      </x:c>
      <x:c r="R56" s="11" t="str">
        <x:v>PDF_055_EditorsContributors-2019.md</x:v>
      </x:c>
      <x:c r="S56" s="11" t="str">
        <x:v>Metadata/front matter; record only bibliographic utility unless Diego requests full extraction</x:v>
      </x:c>
      <x:c r="T56" s="11" t="str"/>
      <x:c r="U56" s="11" t="str">
        <x:v>No</x:v>
      </x:c>
      <x:c r="V56" s="11" t="str">
        <x:v>No</x:v>
      </x:c>
      <x:c r="W56" s="11" t="str">
        <x:v>No</x:v>
      </x:c>
      <x:c r="X56" s="11" t="str"/>
    </x:row>
    <x:row r="57" ht="45" customHeight="1">
      <x:c r="A57" s="11" t="str">
        <x:v>PDF_056</x:v>
      </x:c>
      <x:c r="B57" s="11" t="str">
        <x:v>FrontMatter-2019.pdf</x:v>
      </x:c>
      <x:c r="C57" s="11" t="str">
        <x:v>CHANDLER_FUCHS_eds\FrontMatter-2019.pdf</x:v>
      </x:c>
      <x:c r="D57" s="11" t="str">
        <x:v>ROOT</x:v>
      </x:c>
      <x:c r="E57" s="11" t="str">
        <x:v>FrontMatter</x:v>
      </x:c>
      <x:c r="F57" s="11" t="str">
        <x:v>2019</x:v>
      </x:c>
      <x:c r="G57" s="11" t="n">
        <x:v>0.93</x:v>
      </x:c>
      <x:c r="H57" s="11" t="n">
        <x:v>46147.65856481482</x:v>
      </x:c>
      <x:c r="I57" s="11" t="str">
        <x:v>AUX_METADATA_OR_FRONTMATTER</x:v>
      </x:c>
      <x:c r="J57" s="11" t="str"/>
      <x:c r="K57" s="11" t="str"/>
      <x:c r="L57" s="11" t="str">
        <x:v>Low</x:v>
      </x:c>
      <x:c r="M57" s="11" t="str">
        <x:v>GREEN</x:v>
      </x:c>
      <x:c r="N57" s="11" t="str">
        <x:v>Not Started</x:v>
      </x:c>
      <x:c r="O57" s="11" t="str">
        <x:v>NB00_Metadata_Only</x:v>
      </x:c>
      <x:c r="P57" s="11" t="str">
        <x:v>P00_UNIVERSAL_SOURCE_EXTRACTION</x:v>
      </x:c>
      <x:c r="Q57" s="11" t="str">
        <x:v>[AUX_METADATA_OR_FRONTMATTER] Do not run full extraction. Record bibliographic utility only: title, editors, book/journal container, chapter list, page range if available.</x:v>
      </x:c>
      <x:c r="R57" s="11" t="str">
        <x:v>PDF_056_FrontMatter-2019.md</x:v>
      </x:c>
      <x:c r="S57" s="11" t="str">
        <x:v>Metadata/front matter; record only bibliographic utility unless Diego requests full extraction</x:v>
      </x:c>
      <x:c r="T57" s="11" t="str"/>
      <x:c r="U57" s="11" t="str">
        <x:v>No</x:v>
      </x:c>
      <x:c r="V57" s="11" t="str">
        <x:v>No</x:v>
      </x:c>
      <x:c r="W57" s="11" t="str">
        <x:v>No</x:v>
      </x:c>
      <x:c r="X57" s="11" t="str"/>
    </x:row>
    <x:row r="58" ht="45" customHeight="1">
      <x:c r="A58" s="11" t="str">
        <x:v>PDF_057</x:v>
      </x:c>
      <x:c r="B58" s="11" t="str">
        <x:v>Fuchs-AppropriationDigitalMachines-2019.pdf</x:v>
      </x:c>
      <x:c r="C58" s="11" t="str">
        <x:v>CHANDLER_FUCHS_eds\Fuchs-AppropriationDigitalMachines-2019.pdf</x:v>
      </x:c>
      <x:c r="D58" s="11" t="str">
        <x:v>ROOT</x:v>
      </x:c>
      <x:c r="E58" s="11" t="str">
        <x:v>Fuchs-AppropriationDigitalMachines</x:v>
      </x:c>
      <x:c r="F58" s="11" t="str">
        <x:v>2019</x:v>
      </x:c>
      <x:c r="G58" s="11" t="n">
        <x:v>1.4</x:v>
      </x:c>
      <x:c r="H58" s="11" t="n">
        <x:v>46147.667395833334</x:v>
      </x:c>
      <x:c r="I58" s="11" t="str">
        <x:v>G6_DIGITAL_CAPITALISM_PLATFORM_POWER</x:v>
      </x:c>
      <x:c r="J58" s="11" t="str">
        <x:v>G3_PLATFORMIZATION_DIGITAL_POLITICS</x:v>
      </x:c>
      <x:c r="K58" s="11" t="str"/>
      <x:c r="L58" s="11" t="str">
        <x:v>High</x:v>
      </x:c>
      <x:c r="M58" s="11" t="str">
        <x:v>GREEN</x:v>
      </x:c>
      <x:c r="N58" s="11" t="str">
        <x:v>Not Started</x:v>
      </x:c>
      <x:c r="O58" s="11" t="str">
        <x:v>NB06_Digital_Capitalism_Platform_Power</x:v>
      </x:c>
      <x:c r="P58" s="11" t="str">
        <x:v>P00_UNIVERSAL_SOURCE_EXTRACTION + P06_DIGITAL_CAPITALISM_PLATFORM_POWER + P03_PLATFORMIZATION_DIGITAL_POLITICS</x:v>
      </x:c>
      <x:c r="Q58"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58" s="11" t="str">
        <x:v>PDF_057_Fuchs-AppropriationDigitalMachines-2019.md</x:v>
      </x:c>
      <x:c r="S58" s="11" t="str">
        <x:v>Chandler/Fuchs digital capitalism chapter; likely useful for broader conceptual framework</x:v>
      </x:c>
      <x:c r="T58" s="11" t="str"/>
      <x:c r="U58" s="11" t="str">
        <x:v>No</x:v>
      </x:c>
      <x:c r="V58" s="11" t="str">
        <x:v>No</x:v>
      </x:c>
      <x:c r="W58" s="11" t="str">
        <x:v>No</x:v>
      </x:c>
      <x:c r="X58" s="11" t="str"/>
    </x:row>
    <x:row r="59" ht="45" customHeight="1">
      <x:c r="A59" s="11" t="str">
        <x:v>PDF_058</x:v>
      </x:c>
      <x:c r="B59" s="11" t="str">
        <x:v>Fuchs-BeyondBigData-2019.pdf</x:v>
      </x:c>
      <x:c r="C59" s="11" t="str">
        <x:v>CHANDLER_FUCHS_eds\Fuchs-BeyondBigData-2019.pdf</x:v>
      </x:c>
      <x:c r="D59" s="11" t="str">
        <x:v>ROOT</x:v>
      </x:c>
      <x:c r="E59" s="11" t="str">
        <x:v>Fuchs-BeyondBigData</x:v>
      </x:c>
      <x:c r="F59" s="11" t="str">
        <x:v>2019</x:v>
      </x:c>
      <x:c r="G59" s="11" t="n">
        <x:v>1.04</x:v>
      </x:c>
      <x:c r="H59" s="11" t="n">
        <x:v>46147.6615625</x:v>
      </x:c>
      <x:c r="I59" s="11" t="str">
        <x:v>G6_DIGITAL_CAPITALISM_PLATFORM_POWER</x:v>
      </x:c>
      <x:c r="J59" s="11" t="str">
        <x:v>G3_PLATFORMIZATION_DIGITAL_POLITICS</x:v>
      </x:c>
      <x:c r="K59" s="11" t="str"/>
      <x:c r="L59" s="11" t="str">
        <x:v>High</x:v>
      </x:c>
      <x:c r="M59" s="11" t="str">
        <x:v>GREEN</x:v>
      </x:c>
      <x:c r="N59" s="11" t="str">
        <x:v>Not Started</x:v>
      </x:c>
      <x:c r="O59" s="11" t="str">
        <x:v>NB06_Digital_Capitalism_Platform_Power</x:v>
      </x:c>
      <x:c r="P59" s="11" t="str">
        <x:v>P00_UNIVERSAL_SOURCE_EXTRACTION + P06_DIGITAL_CAPITALISM_PLATFORM_POWER + P03_PLATFORMIZATION_DIGITAL_POLITICS</x:v>
      </x:c>
      <x:c r="Q59"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59" s="11" t="str">
        <x:v>PDF_058_Fuchs-BeyondBigData-2019.md</x:v>
      </x:c>
      <x:c r="S59" s="11" t="str">
        <x:v>Chandler/Fuchs digital capitalism chapter; likely useful for broader conceptual framework</x:v>
      </x:c>
      <x:c r="T59" s="11" t="str"/>
      <x:c r="U59" s="11" t="str">
        <x:v>No</x:v>
      </x:c>
      <x:c r="V59" s="11" t="str">
        <x:v>No</x:v>
      </x:c>
      <x:c r="W59" s="11" t="str">
        <x:v>No</x:v>
      </x:c>
      <x:c r="X59" s="11" t="str"/>
    </x:row>
    <x:row r="60" ht="45" customHeight="1">
      <x:c r="A60" s="11" t="str">
        <x:v>PDF_059</x:v>
      </x:c>
      <x:c r="B60" s="11" t="str">
        <x:v>Fuchs-Introduction-2019.pdf</x:v>
      </x:c>
      <x:c r="C60" s="11" t="str">
        <x:v>CHANDLER_FUCHS_eds\Fuchs-Introduction-2019.pdf</x:v>
      </x:c>
      <x:c r="D60" s="11" t="str">
        <x:v>ROOT</x:v>
      </x:c>
      <x:c r="E60" s="11" t="str">
        <x:v>Fuchs-Introduction</x:v>
      </x:c>
      <x:c r="F60" s="11" t="str">
        <x:v>2019</x:v>
      </x:c>
      <x:c r="G60" s="11" t="n">
        <x:v>1.05</x:v>
      </x:c>
      <x:c r="H60" s="11" t="n">
        <x:v>46147.65869212963</x:v>
      </x:c>
      <x:c r="I60" s="11" t="str">
        <x:v>G6_DIGITAL_CAPITALISM_PLATFORM_POWER</x:v>
      </x:c>
      <x:c r="J60" s="11" t="str">
        <x:v>G3_PLATFORMIZATION_DIGITAL_POLITICS</x:v>
      </x:c>
      <x:c r="K60" s="11" t="str"/>
      <x:c r="L60" s="11" t="str">
        <x:v>High</x:v>
      </x:c>
      <x:c r="M60" s="11" t="str">
        <x:v>GREEN</x:v>
      </x:c>
      <x:c r="N60" s="11" t="str">
        <x:v>Not Started</x:v>
      </x:c>
      <x:c r="O60" s="11" t="str">
        <x:v>NB06_Digital_Capitalism_Platform_Power</x:v>
      </x:c>
      <x:c r="P60" s="11" t="str">
        <x:v>P00_UNIVERSAL_SOURCE_EXTRACTION + P06_DIGITAL_CAPITALISM_PLATFORM_POWER + P03_PLATFORMIZATION_DIGITAL_POLITICS</x:v>
      </x:c>
      <x:c r="Q60"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60" s="11" t="str">
        <x:v>PDF_059_Fuchs-Introduction-2019.md</x:v>
      </x:c>
      <x:c r="S60" s="11" t="str">
        <x:v>Chandler/Fuchs digital capitalism chapter; likely useful for broader conceptual framework</x:v>
      </x:c>
      <x:c r="T60" s="11" t="str"/>
      <x:c r="U60" s="11" t="str">
        <x:v>No</x:v>
      </x:c>
      <x:c r="V60" s="11" t="str">
        <x:v>No</x:v>
      </x:c>
      <x:c r="W60" s="11" t="str">
        <x:v>No</x:v>
      </x:c>
      <x:c r="X60" s="11" t="str"/>
    </x:row>
    <x:row r="61" ht="45" customHeight="1">
      <x:c r="A61" s="11" t="str">
        <x:v>PDF_060</x:v>
      </x:c>
      <x:c r="B61" s="11" t="str">
        <x:v>Fuchs-KarlMarxAge-2019.pdf</x:v>
      </x:c>
      <x:c r="C61" s="11" t="str">
        <x:v>CHANDLER_FUCHS_eds\Fuchs-KarlMarxAge-2019.pdf</x:v>
      </x:c>
      <x:c r="D61" s="11" t="str">
        <x:v>ROOT</x:v>
      </x:c>
      <x:c r="E61" s="11" t="str">
        <x:v>Fuchs-KarlMarxAge</x:v>
      </x:c>
      <x:c r="F61" s="11" t="str">
        <x:v>2019</x:v>
      </x:c>
      <x:c r="G61" s="11" t="n">
        <x:v>2.3</x:v>
      </x:c>
      <x:c r="H61" s="11" t="n">
        <x:v>46147.66159722222</x:v>
      </x:c>
      <x:c r="I61" s="11" t="str">
        <x:v>G6_DIGITAL_CAPITALISM_PLATFORM_POWER</x:v>
      </x:c>
      <x:c r="J61" s="11" t="str">
        <x:v>G3_PLATFORMIZATION_DIGITAL_POLITICS</x:v>
      </x:c>
      <x:c r="K61" s="11" t="str"/>
      <x:c r="L61" s="11" t="str">
        <x:v>High</x:v>
      </x:c>
      <x:c r="M61" s="11" t="str">
        <x:v>GREEN</x:v>
      </x:c>
      <x:c r="N61" s="11" t="str">
        <x:v>Not Started</x:v>
      </x:c>
      <x:c r="O61" s="11" t="str">
        <x:v>NB06_Digital_Capitalism_Platform_Power</x:v>
      </x:c>
      <x:c r="P61" s="11" t="str">
        <x:v>P00_UNIVERSAL_SOURCE_EXTRACTION + P06_DIGITAL_CAPITALISM_PLATFORM_POWER + P03_PLATFORMIZATION_DIGITAL_POLITICS</x:v>
      </x:c>
      <x:c r="Q61"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61" s="11" t="str">
        <x:v>PDF_060_Fuchs-KarlMarxAge-2019.md</x:v>
      </x:c>
      <x:c r="S61" s="11" t="str">
        <x:v>Chandler/Fuchs digital capitalism chapter; likely useful for broader conceptual framework</x:v>
      </x:c>
      <x:c r="T61" s="11" t="str"/>
      <x:c r="U61" s="11" t="str">
        <x:v>No</x:v>
      </x:c>
      <x:c r="V61" s="11" t="str">
        <x:v>No</x:v>
      </x:c>
      <x:c r="W61" s="11" t="str">
        <x:v>No</x:v>
      </x:c>
      <x:c r="X61" s="11" t="str"/>
    </x:row>
    <x:row r="62" ht="45" customHeight="1">
      <x:c r="A62" s="11" t="str">
        <x:v>PDF_061</x:v>
      </x:c>
      <x:c r="B62" s="11" t="str">
        <x:v>Gerbaudo-PlatformParty-2019.pdf</x:v>
      </x:c>
      <x:c r="C62" s="11" t="str">
        <x:v>CHANDLER_FUCHS_eds\Gerbaudo-PlatformParty-2019.pdf</x:v>
      </x:c>
      <x:c r="D62" s="11" t="str">
        <x:v>ROOT</x:v>
      </x:c>
      <x:c r="E62" s="11" t="str">
        <x:v>Gerbaudo-PlatformParty</x:v>
      </x:c>
      <x:c r="F62" s="11" t="str">
        <x:v>2019</x:v>
      </x:c>
      <x:c r="G62" s="11" t="n">
        <x:v>1.7</x:v>
      </x:c>
      <x:c r="H62" s="11" t="n">
        <x:v>46147.66724537037</x:v>
      </x:c>
      <x:c r="I62" s="11" t="str">
        <x:v>G6_DIGITAL_CAPITALISM_PLATFORM_POWER</x:v>
      </x:c>
      <x:c r="J62" s="11" t="str">
        <x:v>G3_PLATFORMIZATION_DIGITAL_POLITICS</x:v>
      </x:c>
      <x:c r="K62" s="11" t="str"/>
      <x:c r="L62" s="11" t="str">
        <x:v>High</x:v>
      </x:c>
      <x:c r="M62" s="11" t="str">
        <x:v>GREEN</x:v>
      </x:c>
      <x:c r="N62" s="11" t="str">
        <x:v>Not Started</x:v>
      </x:c>
      <x:c r="O62" s="11" t="str">
        <x:v>NB06_Digital_Capitalism_Platform_Power</x:v>
      </x:c>
      <x:c r="P62" s="11" t="str">
        <x:v>P00_UNIVERSAL_SOURCE_EXTRACTION + P06_DIGITAL_CAPITALISM_PLATFORM_POWER + P03_PLATFORMIZATION_DIGITAL_POLITICS</x:v>
      </x:c>
      <x:c r="Q62"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62" s="11" t="str">
        <x:v>PDF_061_Gerbaudo-PlatformParty-2019.md</x:v>
      </x:c>
      <x:c r="S62" s="11" t="str">
        <x:v>Chandler/Fuchs digital capitalism chapter; likely useful for broader conceptual framework</x:v>
      </x:c>
      <x:c r="T62" s="11" t="str"/>
      <x:c r="U62" s="11" t="str">
        <x:v>No</x:v>
      </x:c>
      <x:c r="V62" s="11" t="str">
        <x:v>No</x:v>
      </x:c>
      <x:c r="W62" s="11" t="str">
        <x:v>No</x:v>
      </x:c>
      <x:c r="X62" s="11" t="str"/>
    </x:row>
    <x:row r="63" ht="45" customHeight="1">
      <x:c r="A63" s="11" t="str">
        <x:v>PDF_062</x:v>
      </x:c>
      <x:c r="B63" s="11" t="str">
        <x:v>Goodwin-WageWorkersSlaves-2019.pdf</x:v>
      </x:c>
      <x:c r="C63" s="11" t="str">
        <x:v>CHANDLER_FUCHS_eds\Goodwin-WageWorkersSlaves-2019.pdf</x:v>
      </x:c>
      <x:c r="D63" s="11" t="str">
        <x:v>ROOT</x:v>
      </x:c>
      <x:c r="E63" s="11" t="str">
        <x:v>Goodwin-WageWorkersSlaves</x:v>
      </x:c>
      <x:c r="F63" s="11" t="str">
        <x:v>2019</x:v>
      </x:c>
      <x:c r="G63" s="11" t="n">
        <x:v>1.02</x:v>
      </x:c>
      <x:c r="H63" s="11" t="n">
        <x:v>46147.667083333334</x:v>
      </x:c>
      <x:c r="I63" s="11" t="str">
        <x:v>G6_DIGITAL_CAPITALISM_PLATFORM_POWER</x:v>
      </x:c>
      <x:c r="J63" s="11" t="str">
        <x:v>G3_PLATFORMIZATION_DIGITAL_POLITICS</x:v>
      </x:c>
      <x:c r="K63" s="11" t="str"/>
      <x:c r="L63" s="11" t="str">
        <x:v>Medium</x:v>
      </x:c>
      <x:c r="M63" s="11" t="str">
        <x:v>YELLOW</x:v>
      </x:c>
      <x:c r="N63" s="11" t="str">
        <x:v>Not Started</x:v>
      </x:c>
      <x:c r="O63" s="11" t="str">
        <x:v>NB06_Digital_Capitalism_Platform_Power</x:v>
      </x:c>
      <x:c r="P63" s="11" t="str">
        <x:v>P00_UNIVERSAL_SOURCE_EXTRACTION + P06_DIGITAL_CAPITALISM_PLATFORM_POWER + P03_PLATFORMIZATION_DIGITAL_POLITICS</x:v>
      </x:c>
      <x:c r="Q63"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63" s="11" t="str">
        <x:v>PDF_062_Goodwin-WageWorkersSlaves-2019.md</x:v>
      </x:c>
      <x:c r="S63" s="11" t="str">
        <x:v>Chandler/Fuchs chapter; classify conceptually after one-source extraction</x:v>
      </x:c>
      <x:c r="T63" s="11" t="str">
        <x:v>Yes - verify classification</x:v>
      </x:c>
      <x:c r="U63" s="11" t="str">
        <x:v>No</x:v>
      </x:c>
      <x:c r="V63" s="11" t="str">
        <x:v>No</x:v>
      </x:c>
      <x:c r="W63" s="11" t="str">
        <x:v>No</x:v>
      </x:c>
      <x:c r="X63" s="11" t="str"/>
    </x:row>
    <x:row r="64" ht="45" customHeight="1">
      <x:c r="A64" s="11" t="str">
        <x:v>PDF_063</x:v>
      </x:c>
      <x:c r="B64" s="11" t="str">
        <x:v>Index-2019.pdf</x:v>
      </x:c>
      <x:c r="C64" s="11" t="str">
        <x:v>CHANDLER_FUCHS_eds\Index-2019.pdf</x:v>
      </x:c>
      <x:c r="D64" s="11" t="str">
        <x:v>ROOT</x:v>
      </x:c>
      <x:c r="E64" s="11" t="str">
        <x:v>Index</x:v>
      </x:c>
      <x:c r="F64" s="11" t="str">
        <x:v>2019</x:v>
      </x:c>
      <x:c r="G64" s="11" t="n">
        <x:v>2.46</x:v>
      </x:c>
      <x:c r="H64" s="11" t="n">
        <x:v>46147.6675</x:v>
      </x:c>
      <x:c r="I64" s="11" t="str">
        <x:v>AUX_METADATA_OR_FRONTMATTER</x:v>
      </x:c>
      <x:c r="J64" s="11" t="str"/>
      <x:c r="K64" s="11" t="str"/>
      <x:c r="L64" s="11" t="str">
        <x:v>Low</x:v>
      </x:c>
      <x:c r="M64" s="11" t="str">
        <x:v>GREEN</x:v>
      </x:c>
      <x:c r="N64" s="11" t="str">
        <x:v>Not Started</x:v>
      </x:c>
      <x:c r="O64" s="11" t="str">
        <x:v>NB00_Metadata_Only</x:v>
      </x:c>
      <x:c r="P64" s="11" t="str">
        <x:v>P00_UNIVERSAL_SOURCE_EXTRACTION</x:v>
      </x:c>
      <x:c r="Q64" s="11" t="str">
        <x:v>[AUX_METADATA_OR_FRONTMATTER] Do not run full extraction. Record bibliographic utility only: title, editors, book/journal container, chapter list, page range if available.</x:v>
      </x:c>
      <x:c r="R64" s="11" t="str">
        <x:v>PDF_063_Index-2019.md</x:v>
      </x:c>
      <x:c r="S64" s="11" t="str">
        <x:v>Metadata/front matter; record only bibliographic utility unless Diego requests full extraction</x:v>
      </x:c>
      <x:c r="T64" s="11" t="str"/>
      <x:c r="U64" s="11" t="str">
        <x:v>No</x:v>
      </x:c>
      <x:c r="V64" s="11" t="str">
        <x:v>No</x:v>
      </x:c>
      <x:c r="W64" s="11" t="str">
        <x:v>No</x:v>
      </x:c>
      <x:c r="X64" s="11" t="str"/>
    </x:row>
    <x:row r="65" ht="45" customHeight="1">
      <x:c r="A65" s="11" t="str">
        <x:v>PDF_064</x:v>
      </x:c>
      <x:c r="B65" s="11" t="str">
        <x:v>Jarrett-ReproductiveLens-2019.pdf</x:v>
      </x:c>
      <x:c r="C65" s="11" t="str">
        <x:v>CHANDLER_FUCHS_eds\Jarrett-ReproductiveLens-2019.pdf</x:v>
      </x:c>
      <x:c r="D65" s="11" t="str">
        <x:v>ROOT</x:v>
      </x:c>
      <x:c r="E65" s="11" t="str">
        <x:v>Jarrett-ReproductiveLens</x:v>
      </x:c>
      <x:c r="F65" s="11" t="str">
        <x:v>2019</x:v>
      </x:c>
      <x:c r="G65" s="11" t="n">
        <x:v>1.46</x:v>
      </x:c>
      <x:c r="H65" s="11" t="n">
        <x:v>46147.66180555556</x:v>
      </x:c>
      <x:c r="I65" s="11" t="str">
        <x:v>G6_DIGITAL_CAPITALISM_PLATFORM_POWER</x:v>
      </x:c>
      <x:c r="J65" s="11" t="str">
        <x:v>G3_PLATFORMIZATION_DIGITAL_POLITICS</x:v>
      </x:c>
      <x:c r="K65" s="11" t="str"/>
      <x:c r="L65" s="11" t="str">
        <x:v>Medium</x:v>
      </x:c>
      <x:c r="M65" s="11" t="str">
        <x:v>YELLOW</x:v>
      </x:c>
      <x:c r="N65" s="11" t="str">
        <x:v>Not Started</x:v>
      </x:c>
      <x:c r="O65" s="11" t="str">
        <x:v>NB06_Digital_Capitalism_Platform_Power</x:v>
      </x:c>
      <x:c r="P65" s="11" t="str">
        <x:v>P00_UNIVERSAL_SOURCE_EXTRACTION + P06_DIGITAL_CAPITALISM_PLATFORM_POWER + P03_PLATFORMIZATION_DIGITAL_POLITICS</x:v>
      </x:c>
      <x:c r="Q65"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65" s="11" t="str">
        <x:v>PDF_064_Jarrett-ReproductiveLens-2019.md</x:v>
      </x:c>
      <x:c r="S65" s="11" t="str">
        <x:v>Chandler/Fuchs chapter; classify conceptually after one-source extraction</x:v>
      </x:c>
      <x:c r="T65" s="11" t="str">
        <x:v>Yes - verify classification</x:v>
      </x:c>
      <x:c r="U65" s="11" t="str">
        <x:v>No</x:v>
      </x:c>
      <x:c r="V65" s="11" t="str">
        <x:v>No</x:v>
      </x:c>
      <x:c r="W65" s="11" t="str">
        <x:v>No</x:v>
      </x:c>
      <x:c r="X65" s="11" t="str"/>
    </x:row>
    <x:row r="66" ht="45" customHeight="1">
      <x:c r="A66" s="11" t="str">
        <x:v>PDF_065</x:v>
      </x:c>
      <x:c r="B66" s="11" t="str">
        <x:v>Kavada-MovementParty-2019.pdf</x:v>
      </x:c>
      <x:c r="C66" s="11" t="str">
        <x:v>CHANDLER_FUCHS_eds\Kavada-MovementParty-2019.pdf</x:v>
      </x:c>
      <x:c r="D66" s="11" t="str">
        <x:v>ROOT</x:v>
      </x:c>
      <x:c r="E66" s="11" t="str">
        <x:v>Kavada-MovementParty</x:v>
      </x:c>
      <x:c r="F66" s="11" t="str">
        <x:v>2019</x:v>
      </x:c>
      <x:c r="G66" s="11" t="n">
        <x:v>1.28</x:v>
      </x:c>
      <x:c r="H66" s="11" t="n">
        <x:v>46147.667291666665</x:v>
      </x:c>
      <x:c r="I66" s="11" t="str">
        <x:v>G6_DIGITAL_CAPITALISM_PLATFORM_POWER</x:v>
      </x:c>
      <x:c r="J66" s="11" t="str">
        <x:v>G3_PLATFORMIZATION_DIGITAL_POLITICS</x:v>
      </x:c>
      <x:c r="K66" s="11" t="str"/>
      <x:c r="L66" s="11" t="str">
        <x:v>Medium</x:v>
      </x:c>
      <x:c r="M66" s="11" t="str">
        <x:v>YELLOW</x:v>
      </x:c>
      <x:c r="N66" s="11" t="str">
        <x:v>Not Started</x:v>
      </x:c>
      <x:c r="O66" s="11" t="str">
        <x:v>NB06_Digital_Capitalism_Platform_Power</x:v>
      </x:c>
      <x:c r="P66" s="11" t="str">
        <x:v>P00_UNIVERSAL_SOURCE_EXTRACTION + P06_DIGITAL_CAPITALISM_PLATFORM_POWER + P03_PLATFORMIZATION_DIGITAL_POLITICS</x:v>
      </x:c>
      <x:c r="Q66"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66" s="11" t="str">
        <x:v>PDF_065_Kavada-MovementParty-2019.md</x:v>
      </x:c>
      <x:c r="S66" s="11" t="str">
        <x:v>Chandler/Fuchs chapter; classify conceptually after one-source extraction</x:v>
      </x:c>
      <x:c r="T66" s="11" t="str">
        <x:v>Yes - verify classification</x:v>
      </x:c>
      <x:c r="U66" s="11" t="str">
        <x:v>No</x:v>
      </x:c>
      <x:c r="V66" s="11" t="str">
        <x:v>No</x:v>
      </x:c>
      <x:c r="W66" s="11" t="str">
        <x:v>No</x:v>
      </x:c>
      <x:c r="X66" s="11" t="str"/>
    </x:row>
    <x:row r="67" ht="45" customHeight="1">
      <x:c r="A67" s="11" t="str">
        <x:v>PDF_066</x:v>
      </x:c>
      <x:c r="B67" s="11" t="str">
        <x:v>LICHT_2022_cross-lingual_text_classification_OSF.pdf</x:v>
      </x:c>
      <x:c r="C67" s="11" t="str">
        <x:v>CHANDLER_FUCHS_eds\LICHT_2022_cross-lingual_text_classification_OSF.pdf</x:v>
      </x:c>
      <x:c r="D67" s="11" t="str">
        <x:v>ROOT</x:v>
      </x:c>
      <x:c r="E67" s="11" t="str">
        <x:v>LICHT</x:v>
      </x:c>
      <x:c r="F67" s="11" t="str">
        <x:v>2022</x:v>
      </x:c>
      <x:c r="G67" s="11" t="n">
        <x:v>0.18</x:v>
      </x:c>
      <x:c r="H67" s="11" t="n">
        <x:v>46147.688472222224</x:v>
      </x:c>
      <x:c r="I67" s="11" t="str">
        <x:v>G2_TOPIC_MODELING_METHOD</x:v>
      </x:c>
      <x:c r="J67" s="11" t="str">
        <x:v>G7_VENUE_POSITIONING_PRECEDENT</x:v>
      </x:c>
      <x:c r="K67" s="11" t="str"/>
      <x:c r="L67" s="11" t="str">
        <x:v>Medium</x:v>
      </x:c>
      <x:c r="M67" s="11" t="str">
        <x:v>GREEN</x:v>
      </x:c>
      <x:c r="N67" s="11" t="str">
        <x:v>Not Started</x:v>
      </x:c>
      <x:c r="O67" s="11" t="str">
        <x:v>NB02_Topic_Modeling_Methods</x:v>
      </x:c>
      <x:c r="P67" s="11" t="str">
        <x:v>P00_UNIVERSAL_SOURCE_EXTRACTION + P02_TOPIC_MODELING_METHOD + P07_VENUE_PRECEDENT</x:v>
      </x:c>
      <x:c r="Q67" s="11" t="str">
        <x:v>[G2_TOPIC_MODELING_METHOD] What method is used? What corpus? What validation strategy? Topic number K if any? What preprocessing choices? Does it discuss short texts, Spanish, interpretability, or alternatives to LDA?
[G7_VENUE_POSITIONING_PRECEDENT] What journal published this? Why is it a precedent? Which side of the paper’s niche does it cover: method, object, region, or theory? Is it a competitor, complement, or legitimating precedent?</x:v>
      </x:c>
      <x:c r="R67" s="11" t="str">
        <x:v>PDF_066_LICHT_2022_cross-lingual_text_classification_OSF.md</x:v>
      </x:c>
      <x:c r="S67" s="11" t="str">
        <x:v>Cross-lingual text classification; method scaffold</x:v>
      </x:c>
      <x:c r="T67" s="11" t="str"/>
      <x:c r="U67" s="11" t="str">
        <x:v>No</x:v>
      </x:c>
      <x:c r="V67" s="11" t="str">
        <x:v>No</x:v>
      </x:c>
      <x:c r="W67" s="11" t="str">
        <x:v>No</x:v>
      </x:c>
      <x:c r="X67" s="11" t="str"/>
    </x:row>
    <x:row r="68" ht="45" customHeight="1">
      <x:c r="A68" s="11" t="str">
        <x:v>PDF_067</x:v>
      </x:c>
      <x:c r="B68" s="11" t="str">
        <x:v>Moore-EaffectivePrecarityControl-2019.pdf</x:v>
      </x:c>
      <x:c r="C68" s="11" t="str">
        <x:v>CHANDLER_FUCHS_eds\Moore-EaffectivePrecarityControl-2019.pdf</x:v>
      </x:c>
      <x:c r="D68" s="11" t="str">
        <x:v>ROOT</x:v>
      </x:c>
      <x:c r="E68" s="11" t="str">
        <x:v>Moore-EaffectivePrecarityControl</x:v>
      </x:c>
      <x:c r="F68" s="11" t="str">
        <x:v>2019</x:v>
      </x:c>
      <x:c r="G68" s="11" t="n">
        <x:v>1.93</x:v>
      </x:c>
      <x:c r="H68" s="11" t="n">
        <x:v>46147.66625</x:v>
      </x:c>
      <x:c r="I68" s="11" t="str">
        <x:v>G6_DIGITAL_CAPITALISM_PLATFORM_POWER</x:v>
      </x:c>
      <x:c r="J68" s="11" t="str">
        <x:v>G3_PLATFORMIZATION_DIGITAL_POLITICS</x:v>
      </x:c>
      <x:c r="K68" s="11" t="str"/>
      <x:c r="L68" s="11" t="str">
        <x:v>Medium</x:v>
      </x:c>
      <x:c r="M68" s="11" t="str">
        <x:v>YELLOW</x:v>
      </x:c>
      <x:c r="N68" s="11" t="str">
        <x:v>Not Started</x:v>
      </x:c>
      <x:c r="O68" s="11" t="str">
        <x:v>NB06_Digital_Capitalism_Platform_Power</x:v>
      </x:c>
      <x:c r="P68" s="11" t="str">
        <x:v>P00_UNIVERSAL_SOURCE_EXTRACTION + P06_DIGITAL_CAPITALISM_PLATFORM_POWER + P03_PLATFORMIZATION_DIGITAL_POLITICS</x:v>
      </x:c>
      <x:c r="Q68"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68" s="11" t="str">
        <x:v>PDF_067_Moore-EaffectivePrecarityControl-2019.md</x:v>
      </x:c>
      <x:c r="S68" s="11" t="str">
        <x:v>Chandler/Fuchs chapter; classify conceptually after one-source extraction</x:v>
      </x:c>
      <x:c r="T68" s="11" t="str">
        <x:v>Yes - verify classification</x:v>
      </x:c>
      <x:c r="U68" s="11" t="str">
        <x:v>No</x:v>
      </x:c>
      <x:c r="V68" s="11" t="str">
        <x:v>No</x:v>
      </x:c>
      <x:c r="W68" s="11" t="str">
        <x:v>No</x:v>
      </x:c>
      <x:c r="X68" s="11" t="str"/>
    </x:row>
    <x:row r="69" ht="45" customHeight="1">
      <x:c r="A69" s="11" t="str">
        <x:v>PDF_068</x:v>
      </x:c>
      <x:c r="B69" s="11" t="str">
        <x:v>Negri-AppropriationFixedCapital-2019.pdf</x:v>
      </x:c>
      <x:c r="C69" s="11" t="str">
        <x:v>CHANDLER_FUCHS_eds\Negri-AppropriationFixedCapital-2019.pdf</x:v>
      </x:c>
      <x:c r="D69" s="11" t="str">
        <x:v>ROOT</x:v>
      </x:c>
      <x:c r="E69" s="11" t="str">
        <x:v>Negri-AppropriationFixedCapital</x:v>
      </x:c>
      <x:c r="F69" s="11" t="str">
        <x:v>2019</x:v>
      </x:c>
      <x:c r="G69" s="11" t="n">
        <x:v>1.62</x:v>
      </x:c>
      <x:c r="H69" s="11" t="n">
        <x:v>46147.66732638889</x:v>
      </x:c>
      <x:c r="I69" s="11" t="str">
        <x:v>G6_DIGITAL_CAPITALISM_PLATFORM_POWER</x:v>
      </x:c>
      <x:c r="J69" s="11" t="str">
        <x:v>G3_PLATFORMIZATION_DIGITAL_POLITICS</x:v>
      </x:c>
      <x:c r="K69" s="11" t="str"/>
      <x:c r="L69" s="11" t="str">
        <x:v>High</x:v>
      </x:c>
      <x:c r="M69" s="11" t="str">
        <x:v>GREEN</x:v>
      </x:c>
      <x:c r="N69" s="11" t="str">
        <x:v>Not Started</x:v>
      </x:c>
      <x:c r="O69" s="11" t="str">
        <x:v>NB06_Digital_Capitalism_Platform_Power</x:v>
      </x:c>
      <x:c r="P69" s="11" t="str">
        <x:v>P00_UNIVERSAL_SOURCE_EXTRACTION + P06_DIGITAL_CAPITALISM_PLATFORM_POWER + P03_PLATFORMIZATION_DIGITAL_POLITICS</x:v>
      </x:c>
      <x:c r="Q69"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69" s="11" t="str">
        <x:v>PDF_068_Negri-AppropriationFixedCapital-2019.md</x:v>
      </x:c>
      <x:c r="S69" s="11" t="str">
        <x:v>Chandler/Fuchs digital capitalism chapter; likely useful for broader conceptual framework</x:v>
      </x:c>
      <x:c r="T69" s="11" t="str"/>
      <x:c r="U69" s="11" t="str">
        <x:v>No</x:v>
      </x:c>
      <x:c r="V69" s="11" t="str">
        <x:v>No</x:v>
      </x:c>
      <x:c r="W69" s="11" t="str">
        <x:v>No</x:v>
      </x:c>
      <x:c r="X69" s="11" t="str"/>
    </x:row>
    <x:row r="70" ht="45" customHeight="1">
      <x:c r="A70" s="11" t="str">
        <x:v>PDF_069</x:v>
      </x:c>
      <x:c r="B70" s="11" t="str">
        <x:v>Qiu-GoodbyeiSlave-2019.pdf</x:v>
      </x:c>
      <x:c r="C70" s="11" t="str">
        <x:v>CHANDLER_FUCHS_eds\Qiu-GoodbyeiSlave-2019.pdf</x:v>
      </x:c>
      <x:c r="D70" s="11" t="str">
        <x:v>ROOT</x:v>
      </x:c>
      <x:c r="E70" s="11" t="str">
        <x:v>Qiu-GoodbyeiSlave</x:v>
      </x:c>
      <x:c r="F70" s="11" t="str">
        <x:v>2019</x:v>
      </x:c>
      <x:c r="G70" s="11" t="n">
        <x:v>1.89</x:v>
      </x:c>
      <x:c r="H70" s="11" t="n">
        <x:v>46147.667025462964</x:v>
      </x:c>
      <x:c r="I70" s="11" t="str">
        <x:v>G6_DIGITAL_CAPITALISM_PLATFORM_POWER</x:v>
      </x:c>
      <x:c r="J70" s="11" t="str">
        <x:v>G3_PLATFORMIZATION_DIGITAL_POLITICS</x:v>
      </x:c>
      <x:c r="K70" s="11" t="str"/>
      <x:c r="L70" s="11" t="str">
        <x:v>Medium</x:v>
      </x:c>
      <x:c r="M70" s="11" t="str">
        <x:v>YELLOW</x:v>
      </x:c>
      <x:c r="N70" s="11" t="str">
        <x:v>Not Started</x:v>
      </x:c>
      <x:c r="O70" s="11" t="str">
        <x:v>NB06_Digital_Capitalism_Platform_Power</x:v>
      </x:c>
      <x:c r="P70" s="11" t="str">
        <x:v>P00_UNIVERSAL_SOURCE_EXTRACTION + P06_DIGITAL_CAPITALISM_PLATFORM_POWER + P03_PLATFORMIZATION_DIGITAL_POLITICS</x:v>
      </x:c>
      <x:c r="Q70"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70" s="11" t="str">
        <x:v>PDF_069_Qiu-GoodbyeiSlave-2019.md</x:v>
      </x:c>
      <x:c r="S70" s="11" t="str">
        <x:v>Chandler/Fuchs chapter; classify conceptually after one-source extraction</x:v>
      </x:c>
      <x:c r="T70" s="11" t="str">
        <x:v>Yes - verify classification</x:v>
      </x:c>
      <x:c r="U70" s="11" t="str">
        <x:v>No</x:v>
      </x:c>
      <x:c r="V70" s="11" t="str">
        <x:v>No</x:v>
      </x:c>
      <x:c r="W70" s="11" t="str">
        <x:v>No</x:v>
      </x:c>
      <x:c r="X70" s="11" t="str"/>
    </x:row>
    <x:row r="71" ht="45" customHeight="1">
      <x:c r="A71" s="11" t="str">
        <x:v>PDF_070</x:v>
      </x:c>
      <x:c r="B71" s="11" t="str">
        <x:v>Rekret-SeeingLikeCyborg-2019.pdf</x:v>
      </x:c>
      <x:c r="C71" s="11" t="str">
        <x:v>CHANDLER_FUCHS_eds\Rekret-SeeingLikeCyborg-2019.pdf</x:v>
      </x:c>
      <x:c r="D71" s="11" t="str">
        <x:v>ROOT</x:v>
      </x:c>
      <x:c r="E71" s="11" t="str">
        <x:v>Rekret-SeeingLikeCyborg</x:v>
      </x:c>
      <x:c r="F71" s="11" t="str">
        <x:v>2019</x:v>
      </x:c>
      <x:c r="G71" s="11" t="n">
        <x:v>1.37</x:v>
      </x:c>
      <x:c r="H71" s="11" t="n">
        <x:v>46147.66170138889</x:v>
      </x:c>
      <x:c r="I71" s="11" t="str">
        <x:v>G6_DIGITAL_CAPITALISM_PLATFORM_POWER</x:v>
      </x:c>
      <x:c r="J71" s="11" t="str">
        <x:v>G3_PLATFORMIZATION_DIGITAL_POLITICS</x:v>
      </x:c>
      <x:c r="K71" s="11" t="str"/>
      <x:c r="L71" s="11" t="str">
        <x:v>Medium</x:v>
      </x:c>
      <x:c r="M71" s="11" t="str">
        <x:v>YELLOW</x:v>
      </x:c>
      <x:c r="N71" s="11" t="str">
        <x:v>Not Started</x:v>
      </x:c>
      <x:c r="O71" s="11" t="str">
        <x:v>NB06_Digital_Capitalism_Platform_Power</x:v>
      </x:c>
      <x:c r="P71" s="11" t="str">
        <x:v>P00_UNIVERSAL_SOURCE_EXTRACTION + P06_DIGITAL_CAPITALISM_PLATFORM_POWER + P03_PLATFORMIZATION_DIGITAL_POLITICS</x:v>
      </x:c>
      <x:c r="Q71"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71" s="11" t="str">
        <x:v>PDF_070_Rekret-SeeingLikeCyborg-2019.md</x:v>
      </x:c>
      <x:c r="S71" s="11" t="str">
        <x:v>Chandler/Fuchs chapter; classify conceptually after one-source extraction</x:v>
      </x:c>
      <x:c r="T71" s="11" t="str">
        <x:v>Yes - verify classification</x:v>
      </x:c>
      <x:c r="U71" s="11" t="str">
        <x:v>No</x:v>
      </x:c>
      <x:c r="V71" s="11" t="str">
        <x:v>No</x:v>
      </x:c>
      <x:c r="W71" s="11" t="str">
        <x:v>No</x:v>
      </x:c>
      <x:c r="X71" s="11" t="str"/>
    </x:row>
    <x:row r="72" ht="45" customHeight="1">
      <x:c r="A72" s="11" t="str">
        <x:v>PDF_071</x:v>
      </x:c>
      <x:c r="B72" s="11" t="str">
        <x:v>TableContents-2019.pdf</x:v>
      </x:c>
      <x:c r="C72" s="11" t="str">
        <x:v>CHANDLER_FUCHS_eds\TableContents-2019.pdf</x:v>
      </x:c>
      <x:c r="D72" s="11" t="str">
        <x:v>ROOT</x:v>
      </x:c>
      <x:c r="E72" s="11" t="str">
        <x:v>TableContents</x:v>
      </x:c>
      <x:c r="F72" s="11" t="str">
        <x:v>2019</x:v>
      </x:c>
      <x:c r="G72" s="11" t="n">
        <x:v>0.82</x:v>
      </x:c>
      <x:c r="H72" s="11" t="n">
        <x:v>46147.658634259256</x:v>
      </x:c>
      <x:c r="I72" s="11" t="str">
        <x:v>AUX_METADATA_OR_FRONTMATTER</x:v>
      </x:c>
      <x:c r="J72" s="11" t="str"/>
      <x:c r="K72" s="11" t="str"/>
      <x:c r="L72" s="11" t="str">
        <x:v>Low</x:v>
      </x:c>
      <x:c r="M72" s="11" t="str">
        <x:v>GREEN</x:v>
      </x:c>
      <x:c r="N72" s="11" t="str">
        <x:v>Not Started</x:v>
      </x:c>
      <x:c r="O72" s="11" t="str">
        <x:v>NB00_Metadata_Only</x:v>
      </x:c>
      <x:c r="P72" s="11" t="str">
        <x:v>P00_UNIVERSAL_SOURCE_EXTRACTION</x:v>
      </x:c>
      <x:c r="Q72" s="11" t="str">
        <x:v>[AUX_METADATA_OR_FRONTMATTER] Do not run full extraction. Record bibliographic utility only: title, editors, book/journal container, chapter list, page range if available.</x:v>
      </x:c>
      <x:c r="R72" s="11" t="str">
        <x:v>PDF_071_TableContents-2019.md</x:v>
      </x:c>
      <x:c r="S72" s="11" t="str">
        <x:v>Metadata/front matter; record only bibliographic utility unless Diego requests full extraction</x:v>
      </x:c>
      <x:c r="T72" s="11" t="str"/>
      <x:c r="U72" s="11" t="str">
        <x:v>No</x:v>
      </x:c>
      <x:c r="V72" s="11" t="str">
        <x:v>No</x:v>
      </x:c>
      <x:c r="W72" s="11" t="str">
        <x:v>No</x:v>
      </x:c>
      <x:c r="X72" s="11" t="str"/>
    </x:row>
    <x:row r="73" ht="45" customHeight="1">
      <x:c r="A73" s="11" t="str">
        <x:v>PDF_072</x:v>
      </x:c>
      <x:c r="B73" s="11" t="str">
        <x:v>Tambakaki-SubjectsContextsModes-2019.pdf</x:v>
      </x:c>
      <x:c r="C73" s="11" t="str">
        <x:v>CHANDLER_FUCHS_eds\Tambakaki-SubjectsContextsModes-2019.pdf</x:v>
      </x:c>
      <x:c r="D73" s="11" t="str">
        <x:v>ROOT</x:v>
      </x:c>
      <x:c r="E73" s="11" t="str">
        <x:v>Tambakaki-SubjectsContextsModes</x:v>
      </x:c>
      <x:c r="F73" s="11" t="str">
        <x:v>2019</x:v>
      </x:c>
      <x:c r="G73" s="11" t="n">
        <x:v>1.1</x:v>
      </x:c>
      <x:c r="H73" s="11" t="n">
        <x:v>46147.667175925926</x:v>
      </x:c>
      <x:c r="I73" s="11" t="str">
        <x:v>G6_DIGITAL_CAPITALISM_PLATFORM_POWER</x:v>
      </x:c>
      <x:c r="J73" s="11" t="str">
        <x:v>G3_PLATFORMIZATION_DIGITAL_POLITICS</x:v>
      </x:c>
      <x:c r="K73" s="11" t="str"/>
      <x:c r="L73" s="11" t="str">
        <x:v>Medium</x:v>
      </x:c>
      <x:c r="M73" s="11" t="str">
        <x:v>YELLOW</x:v>
      </x:c>
      <x:c r="N73" s="11" t="str">
        <x:v>Not Started</x:v>
      </x:c>
      <x:c r="O73" s="11" t="str">
        <x:v>NB06_Digital_Capitalism_Platform_Power</x:v>
      </x:c>
      <x:c r="P73" s="11" t="str">
        <x:v>P00_UNIVERSAL_SOURCE_EXTRACTION + P06_DIGITAL_CAPITALISM_PLATFORM_POWER + P03_PLATFORMIZATION_DIGITAL_POLITICS</x:v>
      </x:c>
      <x:c r="Q73" s="11" t="str">
        <x:v>[G6_DIGITAL_CAPITALISM_PLATFORM_POWER] What theory of digital capitalism/platform power is offered? Does it explain data extraction, commodification, governance, visibility, control, or political subject formation? How could this deepen the conceptual framework?
[G3_PLATFORMIZATION_DIGITAL_POLITICS] How does the source define digitalization/platformization? What mechanisms are named? Does it treat platforms as passive channels or active infrastructures? Is the pattern global, local, or comparative?</x:v>
      </x:c>
      <x:c r="R73" s="11" t="str">
        <x:v>PDF_072_Tambakaki-SubjectsContextsModes-2019.md</x:v>
      </x:c>
      <x:c r="S73" s="11" t="str">
        <x:v>Chandler/Fuchs chapter; classify conceptually after one-source extraction</x:v>
      </x:c>
      <x:c r="T73" s="11" t="str">
        <x:v>Yes - verify classification</x:v>
      </x:c>
      <x:c r="U73" s="11" t="str">
        <x:v>No</x:v>
      </x:c>
      <x:c r="V73" s="11" t="str">
        <x:v>No</x:v>
      </x:c>
      <x:c r="W73" s="11" t="str">
        <x:v>No</x:v>
      </x:c>
      <x:c r="X73" s="11" t="str"/>
    </x:row>
    <x:row r="74">
      <x:c r="A74" s="11"/>
      <x:c r="B74" s="11"/>
      <x:c r="C74" s="11"/>
      <x:c r="D74" s="11"/>
      <x:c r="E74" s="11"/>
      <x:c r="F74" s="11"/>
      <x:c r="G74" s="11"/>
      <x:c r="H74" s="11"/>
      <x:c r="I74" s="11"/>
      <x:c r="J74" s="11"/>
      <x:c r="K74" s="11"/>
      <x:c r="L74" s="11"/>
      <x:c r="M74" s="11"/>
      <x:c r="N74" s="11"/>
      <x:c r="O74" s="11"/>
      <x:c r="P74" s="11"/>
      <x:c r="Q74" s="11"/>
      <x:c r="R74" s="11"/>
      <x:c r="S74" s="11"/>
      <x:c r="T74" s="11"/>
      <x:c r="U74" s="11"/>
      <x:c r="V74" s="11"/>
      <x:c r="W74" s="11"/>
      <x:c r="X74" s="11"/>
    </x:row>
    <x:row r="75">
      <x:c r="A75" s="11"/>
      <x:c r="B75" s="11"/>
      <x:c r="C75" s="11"/>
      <x:c r="D75" s="11"/>
      <x:c r="E75" s="11"/>
      <x:c r="F75" s="11"/>
      <x:c r="G75" s="11"/>
      <x:c r="H75" s="11"/>
      <x:c r="I75" s="11"/>
      <x:c r="J75" s="11"/>
      <x:c r="K75" s="11"/>
      <x:c r="L75" s="11"/>
      <x:c r="M75" s="11"/>
      <x:c r="N75" s="11"/>
      <x:c r="O75" s="11"/>
      <x:c r="P75" s="11"/>
      <x:c r="Q75" s="11"/>
      <x:c r="R75" s="11"/>
      <x:c r="S75" s="11"/>
      <x:c r="T75" s="11"/>
      <x:c r="U75" s="11"/>
      <x:c r="V75" s="11"/>
      <x:c r="W75" s="11"/>
      <x:c r="X75" s="11"/>
    </x:row>
    <x:row r="76">
      <x:c r="A76" s="11"/>
      <x:c r="B76" s="11"/>
      <x:c r="C76" s="11"/>
      <x:c r="D76" s="11"/>
      <x:c r="E76" s="11"/>
      <x:c r="F76" s="11"/>
      <x:c r="G76" s="11"/>
      <x:c r="H76" s="11"/>
      <x:c r="I76" s="11"/>
      <x:c r="J76" s="11"/>
      <x:c r="K76" s="11"/>
      <x:c r="L76" s="11"/>
      <x:c r="M76" s="11"/>
      <x:c r="N76" s="11"/>
      <x:c r="O76" s="11"/>
      <x:c r="P76" s="11"/>
      <x:c r="Q76" s="11"/>
      <x:c r="R76" s="11"/>
      <x:c r="S76" s="11"/>
      <x:c r="T76" s="11"/>
      <x:c r="U76" s="11"/>
      <x:c r="V76" s="11"/>
      <x:c r="W76" s="11"/>
      <x:c r="X76" s="11"/>
    </x:row>
    <x:row r="77">
      <x:c r="A77" s="11"/>
      <x:c r="B77" s="11"/>
      <x:c r="C77" s="11"/>
      <x:c r="D77" s="11"/>
      <x:c r="E77" s="11"/>
      <x:c r="F77" s="11"/>
      <x:c r="G77" s="11"/>
      <x:c r="H77" s="11"/>
      <x:c r="I77" s="11"/>
      <x:c r="J77" s="11"/>
      <x:c r="K77" s="11"/>
      <x:c r="L77" s="11"/>
      <x:c r="M77" s="11"/>
      <x:c r="N77" s="11"/>
      <x:c r="O77" s="11"/>
      <x:c r="P77" s="11"/>
      <x:c r="Q77" s="11"/>
      <x:c r="R77" s="11"/>
      <x:c r="S77" s="11"/>
      <x:c r="T77" s="11"/>
      <x:c r="U77" s="11"/>
      <x:c r="V77" s="11"/>
      <x:c r="W77" s="11"/>
      <x:c r="X77" s="11"/>
    </x:row>
    <x:row r="78">
      <x:c r="A78" s="11"/>
      <x:c r="B78" s="11"/>
      <x:c r="C78" s="11"/>
      <x:c r="D78" s="11"/>
      <x:c r="E78" s="11"/>
      <x:c r="F78" s="11"/>
      <x:c r="G78" s="11"/>
      <x:c r="H78" s="11"/>
      <x:c r="I78" s="11"/>
      <x:c r="J78" s="11"/>
      <x:c r="K78" s="11"/>
      <x:c r="L78" s="11"/>
      <x:c r="M78" s="11"/>
      <x:c r="N78" s="11"/>
      <x:c r="O78" s="11"/>
      <x:c r="P78" s="11"/>
      <x:c r="Q78" s="11"/>
      <x:c r="R78" s="11"/>
      <x:c r="S78" s="11"/>
      <x:c r="T78" s="11"/>
      <x:c r="U78" s="11"/>
      <x:c r="V78" s="11"/>
      <x:c r="W78" s="11"/>
      <x:c r="X78" s="11"/>
    </x:row>
    <x:row r="79">
      <x:c r="A79" s="11"/>
      <x:c r="B79" s="11"/>
      <x:c r="C79" s="11"/>
      <x:c r="D79" s="11"/>
      <x:c r="E79" s="11"/>
      <x:c r="F79" s="11"/>
      <x:c r="G79" s="11"/>
      <x:c r="H79" s="11"/>
      <x:c r="I79" s="11"/>
      <x:c r="J79" s="11"/>
      <x:c r="K79" s="11"/>
      <x:c r="L79" s="11"/>
      <x:c r="M79" s="11"/>
      <x:c r="N79" s="11"/>
      <x:c r="O79" s="11"/>
      <x:c r="P79" s="11"/>
      <x:c r="Q79" s="11"/>
      <x:c r="R79" s="11"/>
      <x:c r="S79" s="11"/>
      <x:c r="T79" s="11"/>
      <x:c r="U79" s="11"/>
      <x:c r="V79" s="11"/>
      <x:c r="W79" s="11"/>
      <x:c r="X79" s="11"/>
    </x:row>
    <x:row r="80">
      <x:c r="A80" s="11"/>
      <x:c r="B80" s="11"/>
      <x:c r="C80" s="11"/>
      <x:c r="D80" s="11"/>
      <x:c r="E80" s="11"/>
      <x:c r="F80" s="11"/>
      <x:c r="G80" s="11"/>
      <x:c r="H80" s="11"/>
      <x:c r="I80" s="11"/>
      <x:c r="J80" s="11"/>
      <x:c r="K80" s="11"/>
      <x:c r="L80" s="11"/>
      <x:c r="M80" s="11"/>
      <x:c r="N80" s="11"/>
      <x:c r="O80" s="11"/>
      <x:c r="P80" s="11"/>
      <x:c r="Q80" s="11"/>
      <x:c r="R80" s="11"/>
      <x:c r="S80" s="11"/>
      <x:c r="T80" s="11"/>
      <x:c r="U80" s="11"/>
      <x:c r="V80" s="11"/>
      <x:c r="W80" s="11"/>
      <x:c r="X80" s="11"/>
    </x:row>
    <x:row r="81">
      <x:c r="A81" s="11"/>
      <x:c r="B81" s="11"/>
      <x:c r="C81" s="11"/>
      <x:c r="D81" s="11"/>
      <x:c r="E81" s="11"/>
      <x:c r="F81" s="11"/>
      <x:c r="G81" s="11"/>
      <x:c r="H81" s="11"/>
      <x:c r="I81" s="11"/>
      <x:c r="J81" s="11"/>
      <x:c r="K81" s="11"/>
      <x:c r="L81" s="11"/>
      <x:c r="M81" s="11"/>
      <x:c r="N81" s="11"/>
      <x:c r="O81" s="11"/>
      <x:c r="P81" s="11"/>
      <x:c r="Q81" s="11"/>
      <x:c r="R81" s="11"/>
      <x:c r="S81" s="11"/>
      <x:c r="T81" s="11"/>
      <x:c r="U81" s="11"/>
      <x:c r="V81" s="11"/>
      <x:c r="W81" s="11"/>
      <x:c r="X81" s="11"/>
    </x:row>
    <x:row r="82">
      <x:c r="A82" s="11"/>
      <x:c r="B82" s="11"/>
      <x:c r="C82" s="11"/>
      <x:c r="D82" s="11"/>
      <x:c r="E82" s="11"/>
      <x:c r="F82" s="11"/>
      <x:c r="G82" s="11"/>
      <x:c r="H82" s="11"/>
      <x:c r="I82" s="11"/>
      <x:c r="J82" s="11"/>
      <x:c r="K82" s="11"/>
      <x:c r="L82" s="11"/>
      <x:c r="M82" s="11"/>
      <x:c r="N82" s="11"/>
      <x:c r="O82" s="11"/>
      <x:c r="P82" s="11"/>
      <x:c r="Q82" s="11"/>
      <x:c r="R82" s="11"/>
      <x:c r="S82" s="11"/>
      <x:c r="T82" s="11"/>
      <x:c r="U82" s="11"/>
      <x:c r="V82" s="11"/>
      <x:c r="W82" s="11"/>
      <x:c r="X82" s="11"/>
    </x:row>
    <x:row r="83">
      <x:c r="A83" s="11"/>
      <x:c r="B83" s="11"/>
      <x:c r="C83" s="11"/>
      <x:c r="D83" s="11"/>
      <x:c r="E83" s="11"/>
      <x:c r="F83" s="11"/>
      <x:c r="G83" s="11"/>
      <x:c r="H83" s="11"/>
      <x:c r="I83" s="11"/>
      <x:c r="J83" s="11"/>
      <x:c r="K83" s="11"/>
      <x:c r="L83" s="11"/>
      <x:c r="M83" s="11"/>
      <x:c r="N83" s="11"/>
      <x:c r="O83" s="11"/>
      <x:c r="P83" s="11"/>
      <x:c r="Q83" s="11"/>
      <x:c r="R83" s="11"/>
      <x:c r="S83" s="11"/>
      <x:c r="T83" s="11"/>
      <x:c r="U83" s="11"/>
      <x:c r="V83" s="11"/>
      <x:c r="W83" s="11"/>
      <x:c r="X83" s="11"/>
    </x:row>
    <x:row r="84">
      <x:c r="A84" s="11"/>
      <x:c r="B84" s="11"/>
      <x:c r="C84" s="11"/>
      <x:c r="D84" s="11"/>
      <x:c r="E84" s="11"/>
      <x:c r="F84" s="11"/>
      <x:c r="G84" s="11"/>
      <x:c r="H84" s="11"/>
      <x:c r="I84" s="11"/>
      <x:c r="J84" s="11"/>
      <x:c r="K84" s="11"/>
      <x:c r="L84" s="11"/>
      <x:c r="M84" s="11"/>
      <x:c r="N84" s="11"/>
      <x:c r="O84" s="11"/>
      <x:c r="P84" s="11"/>
      <x:c r="Q84" s="11"/>
      <x:c r="R84" s="11"/>
      <x:c r="S84" s="11"/>
      <x:c r="T84" s="11"/>
      <x:c r="U84" s="11"/>
      <x:c r="V84" s="11"/>
      <x:c r="W84" s="11"/>
      <x:c r="X84" s="11"/>
    </x:row>
    <x:row r="85">
      <x:c r="A85" s="11"/>
      <x:c r="B85" s="11"/>
      <x:c r="C85" s="11"/>
      <x:c r="D85" s="11"/>
      <x:c r="E85" s="11"/>
      <x:c r="F85" s="11"/>
      <x:c r="G85" s="11"/>
      <x:c r="H85" s="11"/>
      <x:c r="I85" s="11"/>
      <x:c r="J85" s="11"/>
      <x:c r="K85" s="11"/>
      <x:c r="L85" s="11"/>
      <x:c r="M85" s="11"/>
      <x:c r="N85" s="11"/>
      <x:c r="O85" s="11"/>
      <x:c r="P85" s="11"/>
      <x:c r="Q85" s="11"/>
      <x:c r="R85" s="11"/>
      <x:c r="S85" s="11"/>
      <x:c r="T85" s="11"/>
      <x:c r="U85" s="11"/>
      <x:c r="V85" s="11"/>
      <x:c r="W85" s="11"/>
      <x:c r="X85" s="11"/>
    </x:row>
    <x:row r="86">
      <x:c r="A86" s="11"/>
      <x:c r="B86" s="11"/>
      <x:c r="C86" s="11"/>
      <x:c r="D86" s="11"/>
      <x:c r="E86" s="11"/>
      <x:c r="F86" s="11"/>
      <x:c r="G86" s="11"/>
      <x:c r="H86" s="11"/>
      <x:c r="I86" s="11"/>
      <x:c r="J86" s="11"/>
      <x:c r="K86" s="11"/>
      <x:c r="L86" s="11"/>
      <x:c r="M86" s="11"/>
      <x:c r="N86" s="11"/>
      <x:c r="O86" s="11"/>
      <x:c r="P86" s="11"/>
      <x:c r="Q86" s="11"/>
      <x:c r="R86" s="11"/>
      <x:c r="S86" s="11"/>
      <x:c r="T86" s="11"/>
      <x:c r="U86" s="11"/>
      <x:c r="V86" s="11"/>
      <x:c r="W86" s="11"/>
      <x:c r="X86" s="11"/>
    </x:row>
    <x:row r="87">
      <x:c r="A87" s="11"/>
      <x:c r="B87" s="11"/>
      <x:c r="C87" s="11"/>
      <x:c r="D87" s="11"/>
      <x:c r="E87" s="11"/>
      <x:c r="F87" s="11"/>
      <x:c r="G87" s="11"/>
      <x:c r="H87" s="11"/>
      <x:c r="I87" s="11"/>
      <x:c r="J87" s="11"/>
      <x:c r="K87" s="11"/>
      <x:c r="L87" s="11"/>
      <x:c r="M87" s="11"/>
      <x:c r="N87" s="11"/>
      <x:c r="O87" s="11"/>
      <x:c r="P87" s="11"/>
      <x:c r="Q87" s="11"/>
      <x:c r="R87" s="11"/>
      <x:c r="S87" s="11"/>
      <x:c r="T87" s="11"/>
      <x:c r="U87" s="11"/>
      <x:c r="V87" s="11"/>
      <x:c r="W87" s="11"/>
      <x:c r="X87" s="11"/>
    </x:row>
    <x:row r="88">
      <x:c r="A88" s="11"/>
      <x:c r="B88" s="11"/>
      <x:c r="C88" s="11"/>
      <x:c r="D88" s="11"/>
      <x:c r="E88" s="11"/>
      <x:c r="F88" s="11"/>
      <x:c r="G88" s="11"/>
      <x:c r="H88" s="11"/>
      <x:c r="I88" s="11"/>
      <x:c r="J88" s="11"/>
      <x:c r="K88" s="11"/>
      <x:c r="L88" s="11"/>
      <x:c r="M88" s="11"/>
      <x:c r="N88" s="11"/>
      <x:c r="O88" s="11"/>
      <x:c r="P88" s="11"/>
      <x:c r="Q88" s="11"/>
      <x:c r="R88" s="11"/>
      <x:c r="S88" s="11"/>
      <x:c r="T88" s="11"/>
      <x:c r="U88" s="11"/>
      <x:c r="V88" s="11"/>
      <x:c r="W88" s="11"/>
      <x:c r="X88" s="11"/>
    </x:row>
    <x:row r="89">
      <x:c r="A89" s="11"/>
      <x:c r="B89" s="11"/>
      <x:c r="C89" s="11"/>
      <x:c r="D89" s="11"/>
      <x:c r="E89" s="11"/>
      <x:c r="F89" s="11"/>
      <x:c r="G89" s="11"/>
      <x:c r="H89" s="11"/>
      <x:c r="I89" s="11"/>
      <x:c r="J89" s="11"/>
      <x:c r="K89" s="11"/>
      <x:c r="L89" s="11"/>
      <x:c r="M89" s="11"/>
      <x:c r="N89" s="11"/>
      <x:c r="O89" s="11"/>
      <x:c r="P89" s="11"/>
      <x:c r="Q89" s="11"/>
      <x:c r="R89" s="11"/>
      <x:c r="S89" s="11"/>
      <x:c r="T89" s="11"/>
      <x:c r="U89" s="11"/>
      <x:c r="V89" s="11"/>
      <x:c r="W89" s="11"/>
      <x:c r="X89" s="11"/>
    </x:row>
    <x:row r="90">
      <x:c r="A90" s="11"/>
      <x:c r="B90" s="11"/>
      <x:c r="C90" s="11"/>
      <x:c r="D90" s="11"/>
      <x:c r="E90" s="11"/>
      <x:c r="F90" s="11"/>
      <x:c r="G90" s="11"/>
      <x:c r="H90" s="11"/>
      <x:c r="I90" s="11"/>
      <x:c r="J90" s="11"/>
      <x:c r="K90" s="11"/>
      <x:c r="L90" s="11"/>
      <x:c r="M90" s="11"/>
      <x:c r="N90" s="11"/>
      <x:c r="O90" s="11"/>
      <x:c r="P90" s="11"/>
      <x:c r="Q90" s="11"/>
      <x:c r="R90" s="11"/>
      <x:c r="S90" s="11"/>
      <x:c r="T90" s="11"/>
      <x:c r="U90" s="11"/>
      <x:c r="V90" s="11"/>
      <x:c r="W90" s="11"/>
      <x:c r="X90" s="11"/>
    </x:row>
    <x:row r="91">
      <x:c r="A91" s="11"/>
      <x:c r="B91" s="11"/>
      <x:c r="C91" s="11"/>
      <x:c r="D91" s="11"/>
      <x:c r="E91" s="11"/>
      <x:c r="F91" s="11"/>
      <x:c r="G91" s="11"/>
      <x:c r="H91" s="11"/>
      <x:c r="I91" s="11"/>
      <x:c r="J91" s="11"/>
      <x:c r="K91" s="11"/>
      <x:c r="L91" s="11"/>
      <x:c r="M91" s="11"/>
      <x:c r="N91" s="11"/>
      <x:c r="O91" s="11"/>
      <x:c r="P91" s="11"/>
      <x:c r="Q91" s="11"/>
      <x:c r="R91" s="11"/>
      <x:c r="S91" s="11"/>
      <x:c r="T91" s="11"/>
      <x:c r="U91" s="11"/>
      <x:c r="V91" s="11"/>
      <x:c r="W91" s="11"/>
      <x:c r="X91" s="11"/>
    </x:row>
    <x:row r="92">
      <x:c r="A92" s="11"/>
      <x:c r="B92" s="11"/>
      <x:c r="C92" s="11"/>
      <x:c r="D92" s="11"/>
      <x:c r="E92" s="11"/>
      <x:c r="F92" s="11"/>
      <x:c r="G92" s="11"/>
      <x:c r="H92" s="11"/>
      <x:c r="I92" s="11"/>
      <x:c r="J92" s="11"/>
      <x:c r="K92" s="11"/>
      <x:c r="L92" s="11"/>
      <x:c r="M92" s="11"/>
      <x:c r="N92" s="11"/>
      <x:c r="O92" s="11"/>
      <x:c r="P92" s="11"/>
      <x:c r="Q92" s="11"/>
      <x:c r="R92" s="11"/>
      <x:c r="S92" s="11"/>
      <x:c r="T92" s="11"/>
      <x:c r="U92" s="11"/>
      <x:c r="V92" s="11"/>
      <x:c r="W92" s="11"/>
      <x:c r="X92" s="11"/>
    </x:row>
    <x:row r="93">
      <x:c r="A93" s="11"/>
      <x:c r="B93" s="11"/>
      <x:c r="C93" s="11"/>
      <x:c r="D93" s="11"/>
      <x:c r="E93" s="11"/>
      <x:c r="F93" s="11"/>
      <x:c r="G93" s="11"/>
      <x:c r="H93" s="11"/>
      <x:c r="I93" s="11"/>
      <x:c r="J93" s="11"/>
      <x:c r="K93" s="11"/>
      <x:c r="L93" s="11"/>
      <x:c r="M93" s="11"/>
      <x:c r="N93" s="11"/>
      <x:c r="O93" s="11"/>
      <x:c r="P93" s="11"/>
      <x:c r="Q93" s="11"/>
      <x:c r="R93" s="11"/>
      <x:c r="S93" s="11"/>
      <x:c r="T93" s="11"/>
      <x:c r="U93" s="11"/>
      <x:c r="V93" s="11"/>
      <x:c r="W93" s="11"/>
      <x:c r="X93" s="11"/>
    </x:row>
    <x:row r="94">
      <x:c r="A94" s="11"/>
      <x:c r="B94" s="11"/>
      <x:c r="C94" s="11"/>
      <x:c r="D94" s="11"/>
      <x:c r="E94" s="11"/>
      <x:c r="F94" s="11"/>
      <x:c r="G94" s="11"/>
      <x:c r="H94" s="11"/>
      <x:c r="I94" s="11"/>
      <x:c r="J94" s="11"/>
      <x:c r="K94" s="11"/>
      <x:c r="L94" s="11"/>
      <x:c r="M94" s="11"/>
      <x:c r="N94" s="11"/>
      <x:c r="O94" s="11"/>
      <x:c r="P94" s="11"/>
      <x:c r="Q94" s="11"/>
      <x:c r="R94" s="11"/>
      <x:c r="S94" s="11"/>
      <x:c r="T94" s="11"/>
      <x:c r="U94" s="11"/>
      <x:c r="V94" s="11"/>
      <x:c r="W94" s="11"/>
      <x:c r="X94" s="11"/>
    </x:row>
    <x:row r="95">
      <x:c r="A95" s="11"/>
      <x:c r="B95" s="11"/>
      <x:c r="C95" s="11"/>
      <x:c r="D95" s="11"/>
      <x:c r="E95" s="11"/>
      <x:c r="F95" s="11"/>
      <x:c r="G95" s="11"/>
      <x:c r="H95" s="11"/>
      <x:c r="I95" s="11"/>
      <x:c r="J95" s="11"/>
      <x:c r="K95" s="11"/>
      <x:c r="L95" s="11"/>
      <x:c r="M95" s="11"/>
      <x:c r="N95" s="11"/>
      <x:c r="O95" s="11"/>
      <x:c r="P95" s="11"/>
      <x:c r="Q95" s="11"/>
      <x:c r="R95" s="11"/>
      <x:c r="S95" s="11"/>
      <x:c r="T95" s="11"/>
      <x:c r="U95" s="11"/>
      <x:c r="V95" s="11"/>
      <x:c r="W95" s="11"/>
      <x:c r="X95" s="11"/>
    </x:row>
    <x:row r="96">
      <x:c r="A96" s="11"/>
      <x:c r="B96" s="11"/>
      <x:c r="C96" s="11"/>
      <x:c r="D96" s="11"/>
      <x:c r="E96" s="11"/>
      <x:c r="F96" s="11"/>
      <x:c r="G96" s="11"/>
      <x:c r="H96" s="11"/>
      <x:c r="I96" s="11"/>
      <x:c r="J96" s="11"/>
      <x:c r="K96" s="11"/>
      <x:c r="L96" s="11"/>
      <x:c r="M96" s="11"/>
      <x:c r="N96" s="11"/>
      <x:c r="O96" s="11"/>
      <x:c r="P96" s="11"/>
      <x:c r="Q96" s="11"/>
      <x:c r="R96" s="11"/>
      <x:c r="S96" s="11"/>
      <x:c r="T96" s="11"/>
      <x:c r="U96" s="11"/>
      <x:c r="V96" s="11"/>
      <x:c r="W96" s="11"/>
      <x:c r="X96" s="11"/>
    </x:row>
    <x:row r="97">
      <x:c r="A97" s="11"/>
      <x:c r="B97" s="11"/>
      <x:c r="C97" s="11"/>
      <x:c r="D97" s="11"/>
      <x:c r="E97" s="11"/>
      <x:c r="F97" s="11"/>
      <x:c r="G97" s="11"/>
      <x:c r="H97" s="11"/>
      <x:c r="I97" s="11"/>
      <x:c r="J97" s="11"/>
      <x:c r="K97" s="11"/>
      <x:c r="L97" s="11"/>
      <x:c r="M97" s="11"/>
      <x:c r="N97" s="11"/>
      <x:c r="O97" s="11"/>
      <x:c r="P97" s="11"/>
      <x:c r="Q97" s="11"/>
      <x:c r="R97" s="11"/>
      <x:c r="S97" s="11"/>
      <x:c r="T97" s="11"/>
      <x:c r="U97" s="11"/>
      <x:c r="V97" s="11"/>
      <x:c r="W97" s="11"/>
      <x:c r="X97" s="11"/>
    </x:row>
    <x:row r="98">
      <x:c r="A98" s="11"/>
      <x:c r="B98" s="11"/>
      <x:c r="C98" s="11"/>
      <x:c r="D98" s="11"/>
      <x:c r="E98" s="11"/>
      <x:c r="F98" s="11"/>
      <x:c r="G98" s="11"/>
      <x:c r="H98" s="11"/>
      <x:c r="I98" s="11"/>
      <x:c r="J98" s="11"/>
      <x:c r="K98" s="11"/>
      <x:c r="L98" s="11"/>
      <x:c r="M98" s="11"/>
      <x:c r="N98" s="11"/>
      <x:c r="O98" s="11"/>
      <x:c r="P98" s="11"/>
      <x:c r="Q98" s="11"/>
      <x:c r="R98" s="11"/>
      <x:c r="S98" s="11"/>
      <x:c r="T98" s="11"/>
      <x:c r="U98" s="11"/>
      <x:c r="V98" s="11"/>
      <x:c r="W98" s="11"/>
      <x:c r="X98" s="11"/>
    </x:row>
    <x:row r="99">
      <x:c r="A99" s="11"/>
      <x:c r="B99" s="11"/>
      <x:c r="C99" s="11"/>
      <x:c r="D99" s="11"/>
      <x:c r="E99" s="11"/>
      <x:c r="F99" s="11"/>
      <x:c r="G99" s="11"/>
      <x:c r="H99" s="11"/>
      <x:c r="I99" s="11"/>
      <x:c r="J99" s="11"/>
      <x:c r="K99" s="11"/>
      <x:c r="L99" s="11"/>
      <x:c r="M99" s="11"/>
      <x:c r="N99" s="11"/>
      <x:c r="O99" s="11"/>
      <x:c r="P99" s="11"/>
      <x:c r="Q99" s="11"/>
      <x:c r="R99" s="11"/>
      <x:c r="S99" s="11"/>
      <x:c r="T99" s="11"/>
      <x:c r="U99" s="11"/>
      <x:c r="V99" s="11"/>
      <x:c r="W99" s="11"/>
      <x:c r="X99" s="11"/>
    </x:row>
    <x:row r="100">
      <x:c r="A100" s="11"/>
      <x:c r="B100" s="11"/>
      <x:c r="C100" s="11"/>
      <x:c r="D100" s="11"/>
      <x:c r="E100" s="11"/>
      <x:c r="F100" s="11"/>
      <x:c r="G100" s="11"/>
      <x:c r="H100" s="11"/>
      <x:c r="I100" s="11"/>
      <x:c r="J100" s="11"/>
      <x:c r="K100" s="11"/>
      <x:c r="L100" s="11"/>
      <x:c r="M100" s="11"/>
      <x:c r="N100" s="11"/>
      <x:c r="O100" s="11"/>
      <x:c r="P100" s="11"/>
      <x:c r="Q100" s="11"/>
      <x:c r="R100" s="11"/>
      <x:c r="S100" s="11"/>
      <x:c r="T100" s="11"/>
      <x:c r="U100" s="11"/>
      <x:c r="V100" s="11"/>
      <x:c r="W100" s="11"/>
      <x:c r="X100" s="11"/>
    </x:row>
    <x:row r="101">
      <x:c r="A101" s="11"/>
      <x:c r="B101" s="11"/>
      <x:c r="C101" s="11"/>
      <x:c r="D101" s="11"/>
      <x:c r="E101" s="11"/>
      <x:c r="F101" s="11"/>
      <x:c r="G101" s="11"/>
      <x:c r="H101" s="11"/>
      <x:c r="I101" s="11"/>
      <x:c r="J101" s="11"/>
      <x:c r="K101" s="11"/>
      <x:c r="L101" s="11"/>
      <x:c r="M101" s="11"/>
      <x:c r="N101" s="11"/>
      <x:c r="O101" s="11"/>
      <x:c r="P101" s="11"/>
      <x:c r="Q101" s="11"/>
      <x:c r="R101" s="11"/>
      <x:c r="S101" s="11"/>
      <x:c r="T101" s="11"/>
      <x:c r="U101" s="11"/>
      <x:c r="V101" s="11"/>
      <x:c r="W101" s="11"/>
      <x:c r="X101" s="11"/>
    </x:row>
    <x:row r="102">
      <x:c r="A102" s="11"/>
      <x:c r="B102" s="11"/>
      <x:c r="C102" s="11"/>
      <x:c r="D102" s="11"/>
      <x:c r="E102" s="11"/>
      <x:c r="F102" s="11"/>
      <x:c r="G102" s="11"/>
      <x:c r="H102" s="11"/>
      <x:c r="I102" s="11"/>
      <x:c r="J102" s="11"/>
      <x:c r="K102" s="11"/>
      <x:c r="L102" s="11"/>
      <x:c r="M102" s="11"/>
      <x:c r="N102" s="11"/>
      <x:c r="O102" s="11"/>
      <x:c r="P102" s="11"/>
      <x:c r="Q102" s="11"/>
      <x:c r="R102" s="11"/>
      <x:c r="S102" s="11"/>
      <x:c r="T102" s="11"/>
      <x:c r="U102" s="11"/>
      <x:c r="V102" s="11"/>
      <x:c r="W102" s="11"/>
      <x:c r="X102" s="11"/>
    </x:row>
    <x:row r="103">
      <x:c r="A103" s="11"/>
      <x:c r="B103" s="11"/>
      <x:c r="C103" s="11"/>
      <x:c r="D103" s="11"/>
      <x:c r="E103" s="11"/>
      <x:c r="F103" s="11"/>
      <x:c r="G103" s="11"/>
      <x:c r="H103" s="11"/>
      <x:c r="I103" s="11"/>
      <x:c r="J103" s="11"/>
      <x:c r="K103" s="11"/>
      <x:c r="L103" s="11"/>
      <x:c r="M103" s="11"/>
      <x:c r="N103" s="11"/>
      <x:c r="O103" s="11"/>
      <x:c r="P103" s="11"/>
      <x:c r="Q103" s="11"/>
      <x:c r="R103" s="11"/>
      <x:c r="S103" s="11"/>
      <x:c r="T103" s="11"/>
      <x:c r="U103" s="11"/>
      <x:c r="V103" s="11"/>
      <x:c r="W103" s="11"/>
      <x:c r="X103" s="11"/>
    </x:row>
    <x:row r="104">
      <x:c r="A104" s="11"/>
      <x:c r="B104" s="11"/>
      <x:c r="C104" s="11"/>
      <x:c r="D104" s="11"/>
      <x:c r="E104" s="11"/>
      <x:c r="F104" s="11"/>
      <x:c r="G104" s="11"/>
      <x:c r="H104" s="11"/>
      <x:c r="I104" s="11"/>
      <x:c r="J104" s="11"/>
      <x:c r="K104" s="11"/>
      <x:c r="L104" s="11"/>
      <x:c r="M104" s="11"/>
      <x:c r="N104" s="11"/>
      <x:c r="O104" s="11"/>
      <x:c r="P104" s="11"/>
      <x:c r="Q104" s="11"/>
      <x:c r="R104" s="11"/>
      <x:c r="S104" s="11"/>
      <x:c r="T104" s="11"/>
      <x:c r="U104" s="11"/>
      <x:c r="V104" s="11"/>
      <x:c r="W104" s="11"/>
      <x:c r="X104" s="11"/>
    </x:row>
    <x:row r="105">
      <x:c r="A105" s="11"/>
      <x:c r="B105" s="11"/>
      <x:c r="C105" s="11"/>
      <x:c r="D105" s="11"/>
      <x:c r="E105" s="11"/>
      <x:c r="F105" s="11"/>
      <x:c r="G105" s="11"/>
      <x:c r="H105" s="11"/>
      <x:c r="I105" s="11"/>
      <x:c r="J105" s="11"/>
      <x:c r="K105" s="11"/>
      <x:c r="L105" s="11"/>
      <x:c r="M105" s="11"/>
      <x:c r="N105" s="11"/>
      <x:c r="O105" s="11"/>
      <x:c r="P105" s="11"/>
      <x:c r="Q105" s="11"/>
      <x:c r="R105" s="11"/>
      <x:c r="S105" s="11"/>
      <x:c r="T105" s="11"/>
      <x:c r="U105" s="11"/>
      <x:c r="V105" s="11"/>
      <x:c r="W105" s="11"/>
      <x:c r="X105" s="11"/>
    </x:row>
    <x:row r="106">
      <x:c r="A106" s="11"/>
      <x:c r="B106" s="11"/>
      <x:c r="C106" s="11"/>
      <x:c r="D106" s="11"/>
      <x:c r="E106" s="11"/>
      <x:c r="F106" s="11"/>
      <x:c r="G106" s="11"/>
      <x:c r="H106" s="11"/>
      <x:c r="I106" s="11"/>
      <x:c r="J106" s="11"/>
      <x:c r="K106" s="11"/>
      <x:c r="L106" s="11"/>
      <x:c r="M106" s="11"/>
      <x:c r="N106" s="11"/>
      <x:c r="O106" s="11"/>
      <x:c r="P106" s="11"/>
      <x:c r="Q106" s="11"/>
      <x:c r="R106" s="11"/>
      <x:c r="S106" s="11"/>
      <x:c r="T106" s="11"/>
      <x:c r="U106" s="11"/>
      <x:c r="V106" s="11"/>
      <x:c r="W106" s="11"/>
      <x:c r="X106" s="11"/>
    </x:row>
    <x:row r="107">
      <x:c r="A107" s="11"/>
      <x:c r="B107" s="11"/>
      <x:c r="C107" s="11"/>
      <x:c r="D107" s="11"/>
      <x:c r="E107" s="11"/>
      <x:c r="F107" s="11"/>
      <x:c r="G107" s="11"/>
      <x:c r="H107" s="11"/>
      <x:c r="I107" s="11"/>
      <x:c r="J107" s="11"/>
      <x:c r="K107" s="11"/>
      <x:c r="L107" s="11"/>
      <x:c r="M107" s="11"/>
      <x:c r="N107" s="11"/>
      <x:c r="O107" s="11"/>
      <x:c r="P107" s="11"/>
      <x:c r="Q107" s="11"/>
      <x:c r="R107" s="11"/>
      <x:c r="S107" s="11"/>
      <x:c r="T107" s="11"/>
      <x:c r="U107" s="11"/>
      <x:c r="V107" s="11"/>
      <x:c r="W107" s="11"/>
      <x:c r="X107" s="11"/>
    </x:row>
    <x:row r="108">
      <x:c r="A108" s="11"/>
      <x:c r="B108" s="11"/>
      <x:c r="C108" s="11"/>
      <x:c r="D108" s="11"/>
      <x:c r="E108" s="11"/>
      <x:c r="F108" s="11"/>
      <x:c r="G108" s="11"/>
      <x:c r="H108" s="11"/>
      <x:c r="I108" s="11"/>
      <x:c r="J108" s="11"/>
      <x:c r="K108" s="11"/>
      <x:c r="L108" s="11"/>
      <x:c r="M108" s="11"/>
      <x:c r="N108" s="11"/>
      <x:c r="O108" s="11"/>
      <x:c r="P108" s="11"/>
      <x:c r="Q108" s="11"/>
      <x:c r="R108" s="11"/>
      <x:c r="S108" s="11"/>
      <x:c r="T108" s="11"/>
      <x:c r="U108" s="11"/>
      <x:c r="V108" s="11"/>
      <x:c r="W108" s="11"/>
      <x:c r="X108" s="11"/>
    </x:row>
    <x:row r="109">
      <x:c r="A109" s="11"/>
      <x:c r="B109" s="11"/>
      <x:c r="C109" s="11"/>
      <x:c r="D109" s="11"/>
      <x:c r="E109" s="11"/>
      <x:c r="F109" s="11"/>
      <x:c r="G109" s="11"/>
      <x:c r="H109" s="11"/>
      <x:c r="I109" s="11"/>
      <x:c r="J109" s="11"/>
      <x:c r="K109" s="11"/>
      <x:c r="L109" s="11"/>
      <x:c r="M109" s="11"/>
      <x:c r="N109" s="11"/>
      <x:c r="O109" s="11"/>
      <x:c r="P109" s="11"/>
      <x:c r="Q109" s="11"/>
      <x:c r="R109" s="11"/>
      <x:c r="S109" s="11"/>
      <x:c r="T109" s="11"/>
      <x:c r="U109" s="11"/>
      <x:c r="V109" s="11"/>
      <x:c r="W109" s="11"/>
      <x:c r="X109" s="11"/>
    </x:row>
    <x:row r="110">
      <x:c r="A110" s="11"/>
      <x:c r="B110" s="11"/>
      <x:c r="C110" s="11"/>
      <x:c r="D110" s="11"/>
      <x:c r="E110" s="11"/>
      <x:c r="F110" s="11"/>
      <x:c r="G110" s="11"/>
      <x:c r="H110" s="11"/>
      <x:c r="I110" s="11"/>
      <x:c r="J110" s="11"/>
      <x:c r="K110" s="11"/>
      <x:c r="L110" s="11"/>
      <x:c r="M110" s="11"/>
      <x:c r="N110" s="11"/>
      <x:c r="O110" s="11"/>
      <x:c r="P110" s="11"/>
      <x:c r="Q110" s="11"/>
      <x:c r="R110" s="11"/>
      <x:c r="S110" s="11"/>
      <x:c r="T110" s="11"/>
      <x:c r="U110" s="11"/>
      <x:c r="V110" s="11"/>
      <x:c r="W110" s="11"/>
      <x:c r="X110" s="11"/>
    </x:row>
    <x:row r="111">
      <x:c r="A111" s="11"/>
      <x:c r="B111" s="11"/>
      <x:c r="C111" s="11"/>
      <x:c r="D111" s="11"/>
      <x:c r="E111" s="11"/>
      <x:c r="F111" s="11"/>
      <x:c r="G111" s="11"/>
      <x:c r="H111" s="11"/>
      <x:c r="I111" s="11"/>
      <x:c r="J111" s="11"/>
      <x:c r="K111" s="11"/>
      <x:c r="L111" s="11"/>
      <x:c r="M111" s="11"/>
      <x:c r="N111" s="11"/>
      <x:c r="O111" s="11"/>
      <x:c r="P111" s="11"/>
      <x:c r="Q111" s="11"/>
      <x:c r="R111" s="11"/>
      <x:c r="S111" s="11"/>
      <x:c r="T111" s="11"/>
      <x:c r="U111" s="11"/>
      <x:c r="V111" s="11"/>
      <x:c r="W111" s="11"/>
      <x:c r="X111" s="11"/>
    </x:row>
    <x:row r="112">
      <x:c r="A112" s="11"/>
      <x:c r="B112" s="11"/>
      <x:c r="C112" s="11"/>
      <x:c r="D112" s="11"/>
      <x:c r="E112" s="11"/>
      <x:c r="F112" s="11"/>
      <x:c r="G112" s="11"/>
      <x:c r="H112" s="11"/>
      <x:c r="I112" s="11"/>
      <x:c r="J112" s="11"/>
      <x:c r="K112" s="11"/>
      <x:c r="L112" s="11"/>
      <x:c r="M112" s="11"/>
      <x:c r="N112" s="11"/>
      <x:c r="O112" s="11"/>
      <x:c r="P112" s="11"/>
      <x:c r="Q112" s="11"/>
      <x:c r="R112" s="11"/>
      <x:c r="S112" s="11"/>
      <x:c r="T112" s="11"/>
      <x:c r="U112" s="11"/>
      <x:c r="V112" s="11"/>
      <x:c r="W112" s="11"/>
      <x:c r="X112" s="11"/>
    </x:row>
    <x:row r="113">
      <x:c r="A113" s="11"/>
      <x:c r="B113" s="11"/>
      <x:c r="C113" s="11"/>
      <x:c r="D113" s="11"/>
      <x:c r="E113" s="11"/>
      <x:c r="F113" s="11"/>
      <x:c r="G113" s="11"/>
      <x:c r="H113" s="11"/>
      <x:c r="I113" s="11"/>
      <x:c r="J113" s="11"/>
      <x:c r="K113" s="11"/>
      <x:c r="L113" s="11"/>
      <x:c r="M113" s="11"/>
      <x:c r="N113" s="11"/>
      <x:c r="O113" s="11"/>
      <x:c r="P113" s="11"/>
      <x:c r="Q113" s="11"/>
      <x:c r="R113" s="11"/>
      <x:c r="S113" s="11"/>
      <x:c r="T113" s="11"/>
      <x:c r="U113" s="11"/>
      <x:c r="V113" s="11"/>
      <x:c r="W113" s="11"/>
      <x:c r="X113" s="11"/>
    </x:row>
    <x:row r="114">
      <x:c r="A114" s="11"/>
      <x:c r="B114" s="11"/>
      <x:c r="C114" s="11"/>
      <x:c r="D114" s="11"/>
      <x:c r="E114" s="11"/>
      <x:c r="F114" s="11"/>
      <x:c r="G114" s="11"/>
      <x:c r="H114" s="11"/>
      <x:c r="I114" s="11"/>
      <x:c r="J114" s="11"/>
      <x:c r="K114" s="11"/>
      <x:c r="L114" s="11"/>
      <x:c r="M114" s="11"/>
      <x:c r="N114" s="11"/>
      <x:c r="O114" s="11"/>
      <x:c r="P114" s="11"/>
      <x:c r="Q114" s="11"/>
      <x:c r="R114" s="11"/>
      <x:c r="S114" s="11"/>
      <x:c r="T114" s="11"/>
      <x:c r="U114" s="11"/>
      <x:c r="V114" s="11"/>
      <x:c r="W114" s="11"/>
      <x:c r="X114" s="11"/>
    </x:row>
    <x:row r="115">
      <x:c r="A115" s="11"/>
      <x:c r="B115" s="11"/>
      <x:c r="C115" s="11"/>
      <x:c r="D115" s="11"/>
      <x:c r="E115" s="11"/>
      <x:c r="F115" s="11"/>
      <x:c r="G115" s="11"/>
      <x:c r="H115" s="11"/>
      <x:c r="I115" s="11"/>
      <x:c r="J115" s="11"/>
      <x:c r="K115" s="11"/>
      <x:c r="L115" s="11"/>
      <x:c r="M115" s="11"/>
      <x:c r="N115" s="11"/>
      <x:c r="O115" s="11"/>
      <x:c r="P115" s="11"/>
      <x:c r="Q115" s="11"/>
      <x:c r="R115" s="11"/>
      <x:c r="S115" s="11"/>
      <x:c r="T115" s="11"/>
      <x:c r="U115" s="11"/>
      <x:c r="V115" s="11"/>
      <x:c r="W115" s="11"/>
      <x:c r="X115" s="11"/>
    </x:row>
    <x:row r="116">
      <x:c r="A116" s="11"/>
      <x:c r="B116" s="11"/>
      <x:c r="C116" s="11"/>
      <x:c r="D116" s="11"/>
      <x:c r="E116" s="11"/>
      <x:c r="F116" s="11"/>
      <x:c r="G116" s="11"/>
      <x:c r="H116" s="11"/>
      <x:c r="I116" s="11"/>
      <x:c r="J116" s="11"/>
      <x:c r="K116" s="11"/>
      <x:c r="L116" s="11"/>
      <x:c r="M116" s="11"/>
      <x:c r="N116" s="11"/>
      <x:c r="O116" s="11"/>
      <x:c r="P116" s="11"/>
      <x:c r="Q116" s="11"/>
      <x:c r="R116" s="11"/>
      <x:c r="S116" s="11"/>
      <x:c r="T116" s="11"/>
      <x:c r="U116" s="11"/>
      <x:c r="V116" s="11"/>
      <x:c r="W116" s="11"/>
      <x:c r="X116" s="11"/>
    </x:row>
    <x:row r="117">
      <x:c r="A117" s="11"/>
      <x:c r="B117" s="11"/>
      <x:c r="C117" s="11"/>
      <x:c r="D117" s="11"/>
      <x:c r="E117" s="11"/>
      <x:c r="F117" s="11"/>
      <x:c r="G117" s="11"/>
      <x:c r="H117" s="11"/>
      <x:c r="I117" s="11"/>
      <x:c r="J117" s="11"/>
      <x:c r="K117" s="11"/>
      <x:c r="L117" s="11"/>
      <x:c r="M117" s="11"/>
      <x:c r="N117" s="11"/>
      <x:c r="O117" s="11"/>
      <x:c r="P117" s="11"/>
      <x:c r="Q117" s="11"/>
      <x:c r="R117" s="11"/>
      <x:c r="S117" s="11"/>
      <x:c r="T117" s="11"/>
      <x:c r="U117" s="11"/>
      <x:c r="V117" s="11"/>
      <x:c r="W117" s="11"/>
      <x:c r="X117" s="11"/>
    </x:row>
    <x:row r="118">
      <x:c r="A118" s="11"/>
      <x:c r="B118" s="11"/>
      <x:c r="C118" s="11"/>
      <x:c r="D118" s="11"/>
      <x:c r="E118" s="11"/>
      <x:c r="F118" s="11"/>
      <x:c r="G118" s="11"/>
      <x:c r="H118" s="11"/>
      <x:c r="I118" s="11"/>
      <x:c r="J118" s="11"/>
      <x:c r="K118" s="11"/>
      <x:c r="L118" s="11"/>
      <x:c r="M118" s="11"/>
      <x:c r="N118" s="11"/>
      <x:c r="O118" s="11"/>
      <x:c r="P118" s="11"/>
      <x:c r="Q118" s="11"/>
      <x:c r="R118" s="11"/>
      <x:c r="S118" s="11"/>
      <x:c r="T118" s="11"/>
      <x:c r="U118" s="11"/>
      <x:c r="V118" s="11"/>
      <x:c r="W118" s="11"/>
      <x:c r="X118" s="11"/>
    </x:row>
    <x:row r="119">
      <x:c r="A119" s="11"/>
      <x:c r="B119" s="11"/>
      <x:c r="C119" s="11"/>
      <x:c r="D119" s="11"/>
      <x:c r="E119" s="11"/>
      <x:c r="F119" s="11"/>
      <x:c r="G119" s="11"/>
      <x:c r="H119" s="11"/>
      <x:c r="I119" s="11"/>
      <x:c r="J119" s="11"/>
      <x:c r="K119" s="11"/>
      <x:c r="L119" s="11"/>
      <x:c r="M119" s="11"/>
      <x:c r="N119" s="11"/>
      <x:c r="O119" s="11"/>
      <x:c r="P119" s="11"/>
      <x:c r="Q119" s="11"/>
      <x:c r="R119" s="11"/>
      <x:c r="S119" s="11"/>
      <x:c r="T119" s="11"/>
      <x:c r="U119" s="11"/>
      <x:c r="V119" s="11"/>
      <x:c r="W119" s="11"/>
      <x:c r="X119" s="11"/>
    </x:row>
    <x:row r="120">
      <x:c r="A120" s="11"/>
      <x:c r="B120" s="11"/>
      <x:c r="C120" s="11"/>
      <x:c r="D120" s="11"/>
      <x:c r="E120" s="11"/>
      <x:c r="F120" s="11"/>
      <x:c r="G120" s="11"/>
      <x:c r="H120" s="11"/>
      <x:c r="I120" s="11"/>
      <x:c r="J120" s="11"/>
      <x:c r="K120" s="11"/>
      <x:c r="L120" s="11"/>
      <x:c r="M120" s="11"/>
      <x:c r="N120" s="11"/>
      <x:c r="O120" s="11"/>
      <x:c r="P120" s="11"/>
      <x:c r="Q120" s="11"/>
      <x:c r="R120" s="11"/>
      <x:c r="S120" s="11"/>
      <x:c r="T120" s="11"/>
      <x:c r="U120" s="11"/>
      <x:c r="V120" s="11"/>
      <x:c r="W120" s="11"/>
      <x:c r="X120" s="11"/>
    </x:row>
    <x:row r="121">
      <x:c r="A121" s="11"/>
      <x:c r="B121" s="11"/>
      <x:c r="C121" s="11"/>
      <x:c r="D121" s="11"/>
      <x:c r="E121" s="11"/>
      <x:c r="F121" s="11"/>
      <x:c r="G121" s="11"/>
      <x:c r="H121" s="11"/>
      <x:c r="I121" s="11"/>
      <x:c r="J121" s="11"/>
      <x:c r="K121" s="11"/>
      <x:c r="L121" s="11"/>
      <x:c r="M121" s="11"/>
      <x:c r="N121" s="11"/>
      <x:c r="O121" s="11"/>
      <x:c r="P121" s="11"/>
      <x:c r="Q121" s="11"/>
      <x:c r="R121" s="11"/>
      <x:c r="S121" s="11"/>
      <x:c r="T121" s="11"/>
      <x:c r="U121" s="11"/>
      <x:c r="V121" s="11"/>
      <x:c r="W121" s="11"/>
      <x:c r="X121" s="11"/>
    </x:row>
    <x:row r="122">
      <x:c r="A122" s="11"/>
      <x:c r="B122" s="11"/>
      <x:c r="C122" s="11"/>
      <x:c r="D122" s="11"/>
      <x:c r="E122" s="11"/>
      <x:c r="F122" s="11"/>
      <x:c r="G122" s="11"/>
      <x:c r="H122" s="11"/>
      <x:c r="I122" s="11"/>
      <x:c r="J122" s="11"/>
      <x:c r="K122" s="11"/>
      <x:c r="L122" s="11"/>
      <x:c r="M122" s="11"/>
      <x:c r="N122" s="11"/>
      <x:c r="O122" s="11"/>
      <x:c r="P122" s="11"/>
      <x:c r="Q122" s="11"/>
      <x:c r="R122" s="11"/>
      <x:c r="S122" s="11"/>
      <x:c r="T122" s="11"/>
      <x:c r="U122" s="11"/>
      <x:c r="V122" s="11"/>
      <x:c r="W122" s="11"/>
      <x:c r="X122" s="11"/>
    </x:row>
    <x:row r="123">
      <x:c r="A123" s="11"/>
      <x:c r="B123" s="11"/>
      <x:c r="C123" s="11"/>
      <x:c r="D123" s="11"/>
      <x:c r="E123" s="11"/>
      <x:c r="F123" s="11"/>
      <x:c r="G123" s="11"/>
      <x:c r="H123" s="11"/>
      <x:c r="I123" s="11"/>
      <x:c r="J123" s="11"/>
      <x:c r="K123" s="11"/>
      <x:c r="L123" s="11"/>
      <x:c r="M123" s="11"/>
      <x:c r="N123" s="11"/>
      <x:c r="O123" s="11"/>
      <x:c r="P123" s="11"/>
      <x:c r="Q123" s="11"/>
      <x:c r="R123" s="11"/>
      <x:c r="S123" s="11"/>
      <x:c r="T123" s="11"/>
      <x:c r="U123" s="11"/>
      <x:c r="V123" s="11"/>
      <x:c r="W123" s="11"/>
      <x:c r="X123" s="11"/>
    </x:row>
    <x:row r="124">
      <x:c r="A124" s="11"/>
      <x:c r="B124" s="11"/>
      <x:c r="C124" s="11"/>
      <x:c r="D124" s="11"/>
      <x:c r="E124" s="11"/>
      <x:c r="F124" s="11"/>
      <x:c r="G124" s="11"/>
      <x:c r="H124" s="11"/>
      <x:c r="I124" s="11"/>
      <x:c r="J124" s="11"/>
      <x:c r="K124" s="11"/>
      <x:c r="L124" s="11"/>
      <x:c r="M124" s="11"/>
      <x:c r="N124" s="11"/>
      <x:c r="O124" s="11"/>
      <x:c r="P124" s="11"/>
      <x:c r="Q124" s="11"/>
      <x:c r="R124" s="11"/>
      <x:c r="S124" s="11"/>
      <x:c r="T124" s="11"/>
      <x:c r="U124" s="11"/>
      <x:c r="V124" s="11"/>
      <x:c r="W124" s="11"/>
      <x:c r="X124" s="11"/>
    </x:row>
    <x:row r="125">
      <x:c r="A125" s="11"/>
      <x:c r="B125" s="11"/>
      <x:c r="C125" s="11"/>
      <x:c r="D125" s="11"/>
      <x:c r="E125" s="11"/>
      <x:c r="F125" s="11"/>
      <x:c r="G125" s="11"/>
      <x:c r="H125" s="11"/>
      <x:c r="I125" s="11"/>
      <x:c r="J125" s="11"/>
      <x:c r="K125" s="11"/>
      <x:c r="L125" s="11"/>
      <x:c r="M125" s="11"/>
      <x:c r="N125" s="11"/>
      <x:c r="O125" s="11"/>
      <x:c r="P125" s="11"/>
      <x:c r="Q125" s="11"/>
      <x:c r="R125" s="11"/>
      <x:c r="S125" s="11"/>
      <x:c r="T125" s="11"/>
      <x:c r="U125" s="11"/>
      <x:c r="V125" s="11"/>
      <x:c r="W125" s="11"/>
      <x:c r="X125" s="11"/>
    </x:row>
    <x:row r="126">
      <x:c r="A126" s="11"/>
      <x:c r="B126" s="11"/>
      <x:c r="C126" s="11"/>
      <x:c r="D126" s="11"/>
      <x:c r="E126" s="11"/>
      <x:c r="F126" s="11"/>
      <x:c r="G126" s="11"/>
      <x:c r="H126" s="11"/>
      <x:c r="I126" s="11"/>
      <x:c r="J126" s="11"/>
      <x:c r="K126" s="11"/>
      <x:c r="L126" s="11"/>
      <x:c r="M126" s="11"/>
      <x:c r="N126" s="11"/>
      <x:c r="O126" s="11"/>
      <x:c r="P126" s="11"/>
      <x:c r="Q126" s="11"/>
      <x:c r="R126" s="11"/>
      <x:c r="S126" s="11"/>
      <x:c r="T126" s="11"/>
      <x:c r="U126" s="11"/>
      <x:c r="V126" s="11"/>
      <x:c r="W126" s="11"/>
      <x:c r="X126" s="11"/>
    </x:row>
    <x:row r="127">
      <x:c r="A127" s="11"/>
      <x:c r="B127" s="11"/>
      <x:c r="C127" s="11"/>
      <x:c r="D127" s="11"/>
      <x:c r="E127" s="11"/>
      <x:c r="F127" s="11"/>
      <x:c r="G127" s="11"/>
      <x:c r="H127" s="11"/>
      <x:c r="I127" s="11"/>
      <x:c r="J127" s="11"/>
      <x:c r="K127" s="11"/>
      <x:c r="L127" s="11"/>
      <x:c r="M127" s="11"/>
      <x:c r="N127" s="11"/>
      <x:c r="O127" s="11"/>
      <x:c r="P127" s="11"/>
      <x:c r="Q127" s="11"/>
      <x:c r="R127" s="11"/>
      <x:c r="S127" s="11"/>
      <x:c r="T127" s="11"/>
      <x:c r="U127" s="11"/>
      <x:c r="V127" s="11"/>
      <x:c r="W127" s="11"/>
      <x:c r="X127" s="11"/>
    </x:row>
    <x:row r="128">
      <x:c r="A128" s="11"/>
      <x:c r="B128" s="11"/>
      <x:c r="C128" s="11"/>
      <x:c r="D128" s="11"/>
      <x:c r="E128" s="11"/>
      <x:c r="F128" s="11"/>
      <x:c r="G128" s="11"/>
      <x:c r="H128" s="11"/>
      <x:c r="I128" s="11"/>
      <x:c r="J128" s="11"/>
      <x:c r="K128" s="11"/>
      <x:c r="L128" s="11"/>
      <x:c r="M128" s="11"/>
      <x:c r="N128" s="11"/>
      <x:c r="O128" s="11"/>
      <x:c r="P128" s="11"/>
      <x:c r="Q128" s="11"/>
      <x:c r="R128" s="11"/>
      <x:c r="S128" s="11"/>
      <x:c r="T128" s="11"/>
      <x:c r="U128" s="11"/>
      <x:c r="V128" s="11"/>
      <x:c r="W128" s="11"/>
      <x:c r="X128" s="11"/>
    </x:row>
    <x:row r="129">
      <x:c r="A129" s="11"/>
      <x:c r="B129" s="11"/>
      <x:c r="C129" s="11"/>
      <x:c r="D129" s="11"/>
      <x:c r="E129" s="11"/>
      <x:c r="F129" s="11"/>
      <x:c r="G129" s="11"/>
      <x:c r="H129" s="11"/>
      <x:c r="I129" s="11"/>
      <x:c r="J129" s="11"/>
      <x:c r="K129" s="11"/>
      <x:c r="L129" s="11"/>
      <x:c r="M129" s="11"/>
      <x:c r="N129" s="11"/>
      <x:c r="O129" s="11"/>
      <x:c r="P129" s="11"/>
      <x:c r="Q129" s="11"/>
      <x:c r="R129" s="11"/>
      <x:c r="S129" s="11"/>
      <x:c r="T129" s="11"/>
      <x:c r="U129" s="11"/>
      <x:c r="V129" s="11"/>
      <x:c r="W129" s="11"/>
      <x:c r="X129" s="11"/>
    </x:row>
    <x:row r="130">
      <x:c r="A130" s="11"/>
      <x:c r="B130" s="11"/>
      <x:c r="C130" s="11"/>
      <x:c r="D130" s="11"/>
      <x:c r="E130" s="11"/>
      <x:c r="F130" s="11"/>
      <x:c r="G130" s="11"/>
      <x:c r="H130" s="11"/>
      <x:c r="I130" s="11"/>
      <x:c r="J130" s="11"/>
      <x:c r="K130" s="11"/>
      <x:c r="L130" s="11"/>
      <x:c r="M130" s="11"/>
      <x:c r="N130" s="11"/>
      <x:c r="O130" s="11"/>
      <x:c r="P130" s="11"/>
      <x:c r="Q130" s="11"/>
      <x:c r="R130" s="11"/>
      <x:c r="S130" s="11"/>
      <x:c r="T130" s="11"/>
      <x:c r="U130" s="11"/>
      <x:c r="V130" s="11"/>
      <x:c r="W130" s="11"/>
      <x:c r="X130" s="11"/>
    </x:row>
    <x:row r="131">
      <x:c r="A131" s="11"/>
      <x:c r="B131" s="11"/>
      <x:c r="C131" s="11"/>
      <x:c r="D131" s="11"/>
      <x:c r="E131" s="11"/>
      <x:c r="F131" s="11"/>
      <x:c r="G131" s="11"/>
      <x:c r="H131" s="11"/>
      <x:c r="I131" s="11"/>
      <x:c r="J131" s="11"/>
      <x:c r="K131" s="11"/>
      <x:c r="L131" s="11"/>
      <x:c r="M131" s="11"/>
      <x:c r="N131" s="11"/>
      <x:c r="O131" s="11"/>
      <x:c r="P131" s="11"/>
      <x:c r="Q131" s="11"/>
      <x:c r="R131" s="11"/>
      <x:c r="S131" s="11"/>
      <x:c r="T131" s="11"/>
      <x:c r="U131" s="11"/>
      <x:c r="V131" s="11"/>
      <x:c r="W131" s="11"/>
      <x:c r="X131" s="11"/>
    </x:row>
    <x:row r="132">
      <x:c r="A132" s="11"/>
      <x:c r="B132" s="11"/>
      <x:c r="C132" s="11"/>
      <x:c r="D132" s="11"/>
      <x:c r="E132" s="11"/>
      <x:c r="F132" s="11"/>
      <x:c r="G132" s="11"/>
      <x:c r="H132" s="11"/>
      <x:c r="I132" s="11"/>
      <x:c r="J132" s="11"/>
      <x:c r="K132" s="11"/>
      <x:c r="L132" s="11"/>
      <x:c r="M132" s="11"/>
      <x:c r="N132" s="11"/>
      <x:c r="O132" s="11"/>
      <x:c r="P132" s="11"/>
      <x:c r="Q132" s="11"/>
      <x:c r="R132" s="11"/>
      <x:c r="S132" s="11"/>
      <x:c r="T132" s="11"/>
      <x:c r="U132" s="11"/>
      <x:c r="V132" s="11"/>
      <x:c r="W132" s="11"/>
      <x:c r="X132" s="11"/>
    </x:row>
    <x:row r="133">
      <x:c r="A133" s="11"/>
      <x:c r="B133" s="11"/>
      <x:c r="C133" s="11"/>
      <x:c r="D133" s="11"/>
      <x:c r="E133" s="11"/>
      <x:c r="F133" s="11"/>
      <x:c r="G133" s="11"/>
      <x:c r="H133" s="11"/>
      <x:c r="I133" s="11"/>
      <x:c r="J133" s="11"/>
      <x:c r="K133" s="11"/>
      <x:c r="L133" s="11"/>
      <x:c r="M133" s="11"/>
      <x:c r="N133" s="11"/>
      <x:c r="O133" s="11"/>
      <x:c r="P133" s="11"/>
      <x:c r="Q133" s="11"/>
      <x:c r="R133" s="11"/>
      <x:c r="S133" s="11"/>
      <x:c r="T133" s="11"/>
      <x:c r="U133" s="11"/>
      <x:c r="V133" s="11"/>
      <x:c r="W133" s="11"/>
      <x:c r="X133" s="11"/>
    </x:row>
    <x:row r="134">
      <x:c r="A134" s="11"/>
      <x:c r="B134" s="11"/>
      <x:c r="C134" s="11"/>
      <x:c r="D134" s="11"/>
      <x:c r="E134" s="11"/>
      <x:c r="F134" s="11"/>
      <x:c r="G134" s="11"/>
      <x:c r="H134" s="11"/>
      <x:c r="I134" s="11"/>
      <x:c r="J134" s="11"/>
      <x:c r="K134" s="11"/>
      <x:c r="L134" s="11"/>
      <x:c r="M134" s="11"/>
      <x:c r="N134" s="11"/>
      <x:c r="O134" s="11"/>
      <x:c r="P134" s="11"/>
      <x:c r="Q134" s="11"/>
      <x:c r="R134" s="11"/>
      <x:c r="S134" s="11"/>
      <x:c r="T134" s="11"/>
      <x:c r="U134" s="11"/>
      <x:c r="V134" s="11"/>
      <x:c r="W134" s="11"/>
      <x:c r="X134" s="11"/>
    </x:row>
    <x:row r="135">
      <x:c r="A135" s="11"/>
      <x:c r="B135" s="11"/>
      <x:c r="C135" s="11"/>
      <x:c r="D135" s="11"/>
      <x:c r="E135" s="11"/>
      <x:c r="F135" s="11"/>
      <x:c r="G135" s="11"/>
      <x:c r="H135" s="11"/>
      <x:c r="I135" s="11"/>
      <x:c r="J135" s="11"/>
      <x:c r="K135" s="11"/>
      <x:c r="L135" s="11"/>
      <x:c r="M135" s="11"/>
      <x:c r="N135" s="11"/>
      <x:c r="O135" s="11"/>
      <x:c r="P135" s="11"/>
      <x:c r="Q135" s="11"/>
      <x:c r="R135" s="11"/>
      <x:c r="S135" s="11"/>
      <x:c r="T135" s="11"/>
      <x:c r="U135" s="11"/>
      <x:c r="V135" s="11"/>
      <x:c r="W135" s="11"/>
      <x:c r="X135" s="11"/>
    </x:row>
    <x:row r="136">
      <x:c r="A136" s="11"/>
      <x:c r="B136" s="11"/>
      <x:c r="C136" s="11"/>
      <x:c r="D136" s="11"/>
      <x:c r="E136" s="11"/>
      <x:c r="F136" s="11"/>
      <x:c r="G136" s="11"/>
      <x:c r="H136" s="11"/>
      <x:c r="I136" s="11"/>
      <x:c r="J136" s="11"/>
      <x:c r="K136" s="11"/>
      <x:c r="L136" s="11"/>
      <x:c r="M136" s="11"/>
      <x:c r="N136" s="11"/>
      <x:c r="O136" s="11"/>
      <x:c r="P136" s="11"/>
      <x:c r="Q136" s="11"/>
      <x:c r="R136" s="11"/>
      <x:c r="S136" s="11"/>
      <x:c r="T136" s="11"/>
      <x:c r="U136" s="11"/>
      <x:c r="V136" s="11"/>
      <x:c r="W136" s="11"/>
      <x:c r="X136" s="11"/>
    </x:row>
    <x:row r="137">
      <x:c r="A137" s="11"/>
      <x:c r="B137" s="11"/>
      <x:c r="C137" s="11"/>
      <x:c r="D137" s="11"/>
      <x:c r="E137" s="11"/>
      <x:c r="F137" s="11"/>
      <x:c r="G137" s="11"/>
      <x:c r="H137" s="11"/>
      <x:c r="I137" s="11"/>
      <x:c r="J137" s="11"/>
      <x:c r="K137" s="11"/>
      <x:c r="L137" s="11"/>
      <x:c r="M137" s="11"/>
      <x:c r="N137" s="11"/>
      <x:c r="O137" s="11"/>
      <x:c r="P137" s="11"/>
      <x:c r="Q137" s="11"/>
      <x:c r="R137" s="11"/>
      <x:c r="S137" s="11"/>
      <x:c r="T137" s="11"/>
      <x:c r="U137" s="11"/>
      <x:c r="V137" s="11"/>
      <x:c r="W137" s="11"/>
      <x:c r="X137" s="11"/>
    </x:row>
    <x:row r="138">
      <x:c r="A138" s="11"/>
      <x:c r="B138" s="11"/>
      <x:c r="C138" s="11"/>
      <x:c r="D138" s="11"/>
      <x:c r="E138" s="11"/>
      <x:c r="F138" s="11"/>
      <x:c r="G138" s="11"/>
      <x:c r="H138" s="11"/>
      <x:c r="I138" s="11"/>
      <x:c r="J138" s="11"/>
      <x:c r="K138" s="11"/>
      <x:c r="L138" s="11"/>
      <x:c r="M138" s="11"/>
      <x:c r="N138" s="11"/>
      <x:c r="O138" s="11"/>
      <x:c r="P138" s="11"/>
      <x:c r="Q138" s="11"/>
      <x:c r="R138" s="11"/>
      <x:c r="S138" s="11"/>
      <x:c r="T138" s="11"/>
      <x:c r="U138" s="11"/>
      <x:c r="V138" s="11"/>
      <x:c r="W138" s="11"/>
      <x:c r="X138" s="11"/>
    </x:row>
    <x:row r="139">
      <x:c r="A139" s="11"/>
      <x:c r="B139" s="11"/>
      <x:c r="C139" s="11"/>
      <x:c r="D139" s="11"/>
      <x:c r="E139" s="11"/>
      <x:c r="F139" s="11"/>
      <x:c r="G139" s="11"/>
      <x:c r="H139" s="11"/>
      <x:c r="I139" s="11"/>
      <x:c r="J139" s="11"/>
      <x:c r="K139" s="11"/>
      <x:c r="L139" s="11"/>
      <x:c r="M139" s="11"/>
      <x:c r="N139" s="11"/>
      <x:c r="O139" s="11"/>
      <x:c r="P139" s="11"/>
      <x:c r="Q139" s="11"/>
      <x:c r="R139" s="11"/>
      <x:c r="S139" s="11"/>
      <x:c r="T139" s="11"/>
      <x:c r="U139" s="11"/>
      <x:c r="V139" s="11"/>
      <x:c r="W139" s="11"/>
      <x:c r="X139" s="11"/>
    </x:row>
    <x:row r="140">
      <x:c r="A140" s="11"/>
      <x:c r="B140" s="11"/>
      <x:c r="C140" s="11"/>
      <x:c r="D140" s="11"/>
      <x:c r="E140" s="11"/>
      <x:c r="F140" s="11"/>
      <x:c r="G140" s="11"/>
      <x:c r="H140" s="11"/>
      <x:c r="I140" s="11"/>
      <x:c r="J140" s="11"/>
      <x:c r="K140" s="11"/>
      <x:c r="L140" s="11"/>
      <x:c r="M140" s="11"/>
      <x:c r="N140" s="11"/>
      <x:c r="O140" s="11"/>
      <x:c r="P140" s="11"/>
      <x:c r="Q140" s="11"/>
      <x:c r="R140" s="11"/>
      <x:c r="S140" s="11"/>
      <x:c r="T140" s="11"/>
      <x:c r="U140" s="11"/>
      <x:c r="V140" s="11"/>
      <x:c r="W140" s="11"/>
      <x:c r="X140" s="11"/>
    </x:row>
    <x:row r="141">
      <x:c r="A141" s="11"/>
      <x:c r="B141" s="11"/>
      <x:c r="C141" s="11"/>
      <x:c r="D141" s="11"/>
      <x:c r="E141" s="11"/>
      <x:c r="F141" s="11"/>
      <x:c r="G141" s="11"/>
      <x:c r="H141" s="11"/>
      <x:c r="I141" s="11"/>
      <x:c r="J141" s="11"/>
      <x:c r="K141" s="11"/>
      <x:c r="L141" s="11"/>
      <x:c r="M141" s="11"/>
      <x:c r="N141" s="11"/>
      <x:c r="O141" s="11"/>
      <x:c r="P141" s="11"/>
      <x:c r="Q141" s="11"/>
      <x:c r="R141" s="11"/>
      <x:c r="S141" s="11"/>
      <x:c r="T141" s="11"/>
      <x:c r="U141" s="11"/>
      <x:c r="V141" s="11"/>
      <x:c r="W141" s="11"/>
      <x:c r="X141" s="11"/>
    </x:row>
    <x:row r="142">
      <x:c r="A142" s="11"/>
      <x:c r="B142" s="11"/>
      <x:c r="C142" s="11"/>
      <x:c r="D142" s="11"/>
      <x:c r="E142" s="11"/>
      <x:c r="F142" s="11"/>
      <x:c r="G142" s="11"/>
      <x:c r="H142" s="11"/>
      <x:c r="I142" s="11"/>
      <x:c r="J142" s="11"/>
      <x:c r="K142" s="11"/>
      <x:c r="L142" s="11"/>
      <x:c r="M142" s="11"/>
      <x:c r="N142" s="11"/>
      <x:c r="O142" s="11"/>
      <x:c r="P142" s="11"/>
      <x:c r="Q142" s="11"/>
      <x:c r="R142" s="11"/>
      <x:c r="S142" s="11"/>
      <x:c r="T142" s="11"/>
      <x:c r="U142" s="11"/>
      <x:c r="V142" s="11"/>
      <x:c r="W142" s="11"/>
      <x:c r="X142" s="11"/>
    </x:row>
    <x:row r="143">
      <x:c r="A143" s="11"/>
      <x:c r="B143" s="11"/>
      <x:c r="C143" s="11"/>
      <x:c r="D143" s="11"/>
      <x:c r="E143" s="11"/>
      <x:c r="F143" s="11"/>
      <x:c r="G143" s="11"/>
      <x:c r="H143" s="11"/>
      <x:c r="I143" s="11"/>
      <x:c r="J143" s="11"/>
      <x:c r="K143" s="11"/>
      <x:c r="L143" s="11"/>
      <x:c r="M143" s="11"/>
      <x:c r="N143" s="11"/>
      <x:c r="O143" s="11"/>
      <x:c r="P143" s="11"/>
      <x:c r="Q143" s="11"/>
      <x:c r="R143" s="11"/>
      <x:c r="S143" s="11"/>
      <x:c r="T143" s="11"/>
      <x:c r="U143" s="11"/>
      <x:c r="V143" s="11"/>
      <x:c r="W143" s="11"/>
      <x:c r="X143" s="11"/>
    </x:row>
    <x:row r="144">
      <x:c r="A144" s="11"/>
      <x:c r="B144" s="11"/>
      <x:c r="C144" s="11"/>
      <x:c r="D144" s="11"/>
      <x:c r="E144" s="11"/>
      <x:c r="F144" s="11"/>
      <x:c r="G144" s="11"/>
      <x:c r="H144" s="11"/>
      <x:c r="I144" s="11"/>
      <x:c r="J144" s="11"/>
      <x:c r="K144" s="11"/>
      <x:c r="L144" s="11"/>
      <x:c r="M144" s="11"/>
      <x:c r="N144" s="11"/>
      <x:c r="O144" s="11"/>
      <x:c r="P144" s="11"/>
      <x:c r="Q144" s="11"/>
      <x:c r="R144" s="11"/>
      <x:c r="S144" s="11"/>
      <x:c r="T144" s="11"/>
      <x:c r="U144" s="11"/>
      <x:c r="V144" s="11"/>
      <x:c r="W144" s="11"/>
      <x:c r="X144" s="11"/>
    </x:row>
    <x:row r="145">
      <x:c r="A145" s="11"/>
      <x:c r="B145" s="11"/>
      <x:c r="C145" s="11"/>
      <x:c r="D145" s="11"/>
      <x:c r="E145" s="11"/>
      <x:c r="F145" s="11"/>
      <x:c r="G145" s="11"/>
      <x:c r="H145" s="11"/>
      <x:c r="I145" s="11"/>
      <x:c r="J145" s="11"/>
      <x:c r="K145" s="11"/>
      <x:c r="L145" s="11"/>
      <x:c r="M145" s="11"/>
      <x:c r="N145" s="11"/>
      <x:c r="O145" s="11"/>
      <x:c r="P145" s="11"/>
      <x:c r="Q145" s="11"/>
      <x:c r="R145" s="11"/>
      <x:c r="S145" s="11"/>
      <x:c r="T145" s="11"/>
      <x:c r="U145" s="11"/>
      <x:c r="V145" s="11"/>
      <x:c r="W145" s="11"/>
      <x:c r="X145" s="11"/>
    </x:row>
    <x:row r="146">
      <x:c r="A146" s="11"/>
      <x:c r="B146" s="11"/>
      <x:c r="C146" s="11"/>
      <x:c r="D146" s="11"/>
      <x:c r="E146" s="11"/>
      <x:c r="F146" s="11"/>
      <x:c r="G146" s="11"/>
      <x:c r="H146" s="11"/>
      <x:c r="I146" s="11"/>
      <x:c r="J146" s="11"/>
      <x:c r="K146" s="11"/>
      <x:c r="L146" s="11"/>
      <x:c r="M146" s="11"/>
      <x:c r="N146" s="11"/>
      <x:c r="O146" s="11"/>
      <x:c r="P146" s="11"/>
      <x:c r="Q146" s="11"/>
      <x:c r="R146" s="11"/>
      <x:c r="S146" s="11"/>
      <x:c r="T146" s="11"/>
      <x:c r="U146" s="11"/>
      <x:c r="V146" s="11"/>
      <x:c r="W146" s="11"/>
      <x:c r="X146" s="11"/>
    </x:row>
    <x:row r="147">
      <x:c r="A147" s="11"/>
      <x:c r="B147" s="11"/>
      <x:c r="C147" s="11"/>
      <x:c r="D147" s="11"/>
      <x:c r="E147" s="11"/>
      <x:c r="F147" s="11"/>
      <x:c r="G147" s="11"/>
      <x:c r="H147" s="11"/>
      <x:c r="I147" s="11"/>
      <x:c r="J147" s="11"/>
      <x:c r="K147" s="11"/>
      <x:c r="L147" s="11"/>
      <x:c r="M147" s="11"/>
      <x:c r="N147" s="11"/>
      <x:c r="O147" s="11"/>
      <x:c r="P147" s="11"/>
      <x:c r="Q147" s="11"/>
      <x:c r="R147" s="11"/>
      <x:c r="S147" s="11"/>
      <x:c r="T147" s="11"/>
      <x:c r="U147" s="11"/>
      <x:c r="V147" s="11"/>
      <x:c r="W147" s="11"/>
      <x:c r="X147" s="11"/>
    </x:row>
    <x:row r="148">
      <x:c r="A148" s="11"/>
      <x:c r="B148" s="11"/>
      <x:c r="C148" s="11"/>
      <x:c r="D148" s="11"/>
      <x:c r="E148" s="11"/>
      <x:c r="F148" s="11"/>
      <x:c r="G148" s="11"/>
      <x:c r="H148" s="11"/>
      <x:c r="I148" s="11"/>
      <x:c r="J148" s="11"/>
      <x:c r="K148" s="11"/>
      <x:c r="L148" s="11"/>
      <x:c r="M148" s="11"/>
      <x:c r="N148" s="11"/>
      <x:c r="O148" s="11"/>
      <x:c r="P148" s="11"/>
      <x:c r="Q148" s="11"/>
      <x:c r="R148" s="11"/>
      <x:c r="S148" s="11"/>
      <x:c r="T148" s="11"/>
      <x:c r="U148" s="11"/>
      <x:c r="V148" s="11"/>
      <x:c r="W148" s="11"/>
      <x:c r="X148" s="11"/>
    </x:row>
    <x:row r="149">
      <x:c r="A149" s="11"/>
      <x:c r="B149" s="11"/>
      <x:c r="C149" s="11"/>
      <x:c r="D149" s="11"/>
      <x:c r="E149" s="11"/>
      <x:c r="F149" s="11"/>
      <x:c r="G149" s="11"/>
      <x:c r="H149" s="11"/>
      <x:c r="I149" s="11"/>
      <x:c r="J149" s="11"/>
      <x:c r="K149" s="11"/>
      <x:c r="L149" s="11"/>
      <x:c r="M149" s="11"/>
      <x:c r="N149" s="11"/>
      <x:c r="O149" s="11"/>
      <x:c r="P149" s="11"/>
      <x:c r="Q149" s="11"/>
      <x:c r="R149" s="11"/>
      <x:c r="S149" s="11"/>
      <x:c r="T149" s="11"/>
      <x:c r="U149" s="11"/>
      <x:c r="V149" s="11"/>
      <x:c r="W149" s="11"/>
      <x:c r="X149" s="11"/>
    </x:row>
    <x:row r="150">
      <x:c r="A150" s="11"/>
      <x:c r="B150" s="11"/>
      <x:c r="C150" s="11"/>
      <x:c r="D150" s="11"/>
      <x:c r="E150" s="11"/>
      <x:c r="F150" s="11"/>
      <x:c r="G150" s="11"/>
      <x:c r="H150" s="11"/>
      <x:c r="I150" s="11"/>
      <x:c r="J150" s="11"/>
      <x:c r="K150" s="11"/>
      <x:c r="L150" s="11"/>
      <x:c r="M150" s="11"/>
      <x:c r="N150" s="11"/>
      <x:c r="O150" s="11"/>
      <x:c r="P150" s="11"/>
      <x:c r="Q150" s="11"/>
      <x:c r="R150" s="11"/>
      <x:c r="S150" s="11"/>
      <x:c r="T150" s="11"/>
      <x:c r="U150" s="11"/>
      <x:c r="V150" s="11"/>
      <x:c r="W150" s="11"/>
      <x:c r="X150" s="11"/>
    </x:row>
    <x:row r="151">
      <x:c r="A151" s="11"/>
      <x:c r="B151" s="11"/>
      <x:c r="C151" s="11"/>
      <x:c r="D151" s="11"/>
      <x:c r="E151" s="11"/>
      <x:c r="F151" s="11"/>
      <x:c r="G151" s="11"/>
      <x:c r="H151" s="11"/>
      <x:c r="I151" s="11"/>
      <x:c r="J151" s="11"/>
      <x:c r="K151" s="11"/>
      <x:c r="L151" s="11"/>
      <x:c r="M151" s="11"/>
      <x:c r="N151" s="11"/>
      <x:c r="O151" s="11"/>
      <x:c r="P151" s="11"/>
      <x:c r="Q151" s="11"/>
      <x:c r="R151" s="11"/>
      <x:c r="S151" s="11"/>
      <x:c r="T151" s="11"/>
      <x:c r="U151" s="11"/>
      <x:c r="V151" s="11"/>
      <x:c r="W151" s="11"/>
      <x:c r="X151" s="11"/>
    </x:row>
    <x:row r="152">
      <x:c r="A152" s="11"/>
      <x:c r="B152" s="11"/>
      <x:c r="C152" s="11"/>
      <x:c r="D152" s="11"/>
      <x:c r="E152" s="11"/>
      <x:c r="F152" s="11"/>
      <x:c r="G152" s="11"/>
      <x:c r="H152" s="11"/>
      <x:c r="I152" s="11"/>
      <x:c r="J152" s="11"/>
      <x:c r="K152" s="11"/>
      <x:c r="L152" s="11"/>
      <x:c r="M152" s="11"/>
      <x:c r="N152" s="11"/>
      <x:c r="O152" s="11"/>
      <x:c r="P152" s="11"/>
      <x:c r="Q152" s="11"/>
      <x:c r="R152" s="11"/>
      <x:c r="S152" s="11"/>
      <x:c r="T152" s="11"/>
      <x:c r="U152" s="11"/>
      <x:c r="V152" s="11"/>
      <x:c r="W152" s="11"/>
      <x:c r="X152" s="11"/>
    </x:row>
    <x:row r="153">
      <x:c r="A153" s="11"/>
      <x:c r="B153" s="11"/>
      <x:c r="C153" s="11"/>
      <x:c r="D153" s="11"/>
      <x:c r="E153" s="11"/>
      <x:c r="F153" s="11"/>
      <x:c r="G153" s="11"/>
      <x:c r="H153" s="11"/>
      <x:c r="I153" s="11"/>
      <x:c r="J153" s="11"/>
      <x:c r="K153" s="11"/>
      <x:c r="L153" s="11"/>
      <x:c r="M153" s="11"/>
      <x:c r="N153" s="11"/>
      <x:c r="O153" s="11"/>
      <x:c r="P153" s="11"/>
      <x:c r="Q153" s="11"/>
      <x:c r="R153" s="11"/>
      <x:c r="S153" s="11"/>
      <x:c r="T153" s="11"/>
      <x:c r="U153" s="11"/>
      <x:c r="V153" s="11"/>
      <x:c r="W153" s="11"/>
      <x:c r="X153" s="11"/>
    </x:row>
    <x:row r="154">
      <x:c r="A154" s="11"/>
      <x:c r="B154" s="11"/>
      <x:c r="C154" s="11"/>
      <x:c r="D154" s="11"/>
      <x:c r="E154" s="11"/>
      <x:c r="F154" s="11"/>
      <x:c r="G154" s="11"/>
      <x:c r="H154" s="11"/>
      <x:c r="I154" s="11"/>
      <x:c r="J154" s="11"/>
      <x:c r="K154" s="11"/>
      <x:c r="L154" s="11"/>
      <x:c r="M154" s="11"/>
      <x:c r="N154" s="11"/>
      <x:c r="O154" s="11"/>
      <x:c r="P154" s="11"/>
      <x:c r="Q154" s="11"/>
      <x:c r="R154" s="11"/>
      <x:c r="S154" s="11"/>
      <x:c r="T154" s="11"/>
      <x:c r="U154" s="11"/>
      <x:c r="V154" s="11"/>
      <x:c r="W154" s="11"/>
      <x:c r="X154" s="11"/>
    </x:row>
    <x:row r="155">
      <x:c r="A155" s="11"/>
      <x:c r="B155" s="11"/>
      <x:c r="C155" s="11"/>
      <x:c r="D155" s="11"/>
      <x:c r="E155" s="11"/>
      <x:c r="F155" s="11"/>
      <x:c r="G155" s="11"/>
      <x:c r="H155" s="11"/>
      <x:c r="I155" s="11"/>
      <x:c r="J155" s="11"/>
      <x:c r="K155" s="11"/>
      <x:c r="L155" s="11"/>
      <x:c r="M155" s="11"/>
      <x:c r="N155" s="11"/>
      <x:c r="O155" s="11"/>
      <x:c r="P155" s="11"/>
      <x:c r="Q155" s="11"/>
      <x:c r="R155" s="11"/>
      <x:c r="S155" s="11"/>
      <x:c r="T155" s="11"/>
      <x:c r="U155" s="11"/>
      <x:c r="V155" s="11"/>
      <x:c r="W155" s="11"/>
      <x:c r="X155" s="11"/>
    </x:row>
    <x:row r="156">
      <x:c r="A156" s="11"/>
      <x:c r="B156" s="11"/>
      <x:c r="C156" s="11"/>
      <x:c r="D156" s="11"/>
      <x:c r="E156" s="11"/>
      <x:c r="F156" s="11"/>
      <x:c r="G156" s="11"/>
      <x:c r="H156" s="11"/>
      <x:c r="I156" s="11"/>
      <x:c r="J156" s="11"/>
      <x:c r="K156" s="11"/>
      <x:c r="L156" s="11"/>
      <x:c r="M156" s="11"/>
      <x:c r="N156" s="11"/>
      <x:c r="O156" s="11"/>
      <x:c r="P156" s="11"/>
      <x:c r="Q156" s="11"/>
      <x:c r="R156" s="11"/>
      <x:c r="S156" s="11"/>
      <x:c r="T156" s="11"/>
      <x:c r="U156" s="11"/>
      <x:c r="V156" s="11"/>
      <x:c r="W156" s="11"/>
      <x:c r="X156" s="11"/>
    </x:row>
    <x:row r="157">
      <x:c r="A157" s="11"/>
      <x:c r="B157" s="11"/>
      <x:c r="C157" s="11"/>
      <x:c r="D157" s="11"/>
      <x:c r="E157" s="11"/>
      <x:c r="F157" s="11"/>
      <x:c r="G157" s="11"/>
      <x:c r="H157" s="11"/>
      <x:c r="I157" s="11"/>
      <x:c r="J157" s="11"/>
      <x:c r="K157" s="11"/>
      <x:c r="L157" s="11"/>
      <x:c r="M157" s="11"/>
      <x:c r="N157" s="11"/>
      <x:c r="O157" s="11"/>
      <x:c r="P157" s="11"/>
      <x:c r="Q157" s="11"/>
      <x:c r="R157" s="11"/>
      <x:c r="S157" s="11"/>
      <x:c r="T157" s="11"/>
      <x:c r="U157" s="11"/>
      <x:c r="V157" s="11"/>
      <x:c r="W157" s="11"/>
      <x:c r="X157" s="11"/>
    </x:row>
    <x:row r="158">
      <x:c r="A158" s="11"/>
      <x:c r="B158" s="11"/>
      <x:c r="C158" s="11"/>
      <x:c r="D158" s="11"/>
      <x:c r="E158" s="11"/>
      <x:c r="F158" s="11"/>
      <x:c r="G158" s="11"/>
      <x:c r="H158" s="11"/>
      <x:c r="I158" s="11"/>
      <x:c r="J158" s="11"/>
      <x:c r="K158" s="11"/>
      <x:c r="L158" s="11"/>
      <x:c r="M158" s="11"/>
      <x:c r="N158" s="11"/>
      <x:c r="O158" s="11"/>
      <x:c r="P158" s="11"/>
      <x:c r="Q158" s="11"/>
      <x:c r="R158" s="11"/>
      <x:c r="S158" s="11"/>
      <x:c r="T158" s="11"/>
      <x:c r="U158" s="11"/>
      <x:c r="V158" s="11"/>
      <x:c r="W158" s="11"/>
      <x:c r="X158" s="11"/>
    </x:row>
    <x:row r="159">
      <x:c r="A159" s="11"/>
      <x:c r="B159" s="11"/>
      <x:c r="C159" s="11"/>
      <x:c r="D159" s="11"/>
      <x:c r="E159" s="11"/>
      <x:c r="F159" s="11"/>
      <x:c r="G159" s="11"/>
      <x:c r="H159" s="11"/>
      <x:c r="I159" s="11"/>
      <x:c r="J159" s="11"/>
      <x:c r="K159" s="11"/>
      <x:c r="L159" s="11"/>
      <x:c r="M159" s="11"/>
      <x:c r="N159" s="11"/>
      <x:c r="O159" s="11"/>
      <x:c r="P159" s="11"/>
      <x:c r="Q159" s="11"/>
      <x:c r="R159" s="11"/>
      <x:c r="S159" s="11"/>
      <x:c r="T159" s="11"/>
      <x:c r="U159" s="11"/>
      <x:c r="V159" s="11"/>
      <x:c r="W159" s="11"/>
      <x:c r="X159" s="11"/>
    </x:row>
    <x:row r="160">
      <x:c r="A160" s="11"/>
      <x:c r="B160" s="11"/>
      <x:c r="C160" s="11"/>
      <x:c r="D160" s="11"/>
      <x:c r="E160" s="11"/>
      <x:c r="F160" s="11"/>
      <x:c r="G160" s="11"/>
      <x:c r="H160" s="11"/>
      <x:c r="I160" s="11"/>
      <x:c r="J160" s="11"/>
      <x:c r="K160" s="11"/>
      <x:c r="L160" s="11"/>
      <x:c r="M160" s="11"/>
      <x:c r="N160" s="11"/>
      <x:c r="O160" s="11"/>
      <x:c r="P160" s="11"/>
      <x:c r="Q160" s="11"/>
      <x:c r="R160" s="11"/>
      <x:c r="S160" s="11"/>
      <x:c r="T160" s="11"/>
      <x:c r="U160" s="11"/>
      <x:c r="V160" s="11"/>
      <x:c r="W160" s="11"/>
      <x:c r="X160" s="11"/>
    </x:row>
    <x:row r="161">
      <x:c r="A161" s="11"/>
      <x:c r="B161" s="11"/>
      <x:c r="C161" s="11"/>
      <x:c r="D161" s="11"/>
      <x:c r="E161" s="11"/>
      <x:c r="F161" s="11"/>
      <x:c r="G161" s="11"/>
      <x:c r="H161" s="11"/>
      <x:c r="I161" s="11"/>
      <x:c r="J161" s="11"/>
      <x:c r="K161" s="11"/>
      <x:c r="L161" s="11"/>
      <x:c r="M161" s="11"/>
      <x:c r="N161" s="11"/>
      <x:c r="O161" s="11"/>
      <x:c r="P161" s="11"/>
      <x:c r="Q161" s="11"/>
      <x:c r="R161" s="11"/>
      <x:c r="S161" s="11"/>
      <x:c r="T161" s="11"/>
      <x:c r="U161" s="11"/>
      <x:c r="V161" s="11"/>
      <x:c r="W161" s="11"/>
      <x:c r="X161" s="11"/>
    </x:row>
    <x:row r="162">
      <x:c r="A162" s="11"/>
      <x:c r="B162" s="11"/>
      <x:c r="C162" s="11"/>
      <x:c r="D162" s="11"/>
      <x:c r="E162" s="11"/>
      <x:c r="F162" s="11"/>
      <x:c r="G162" s="11"/>
      <x:c r="H162" s="11"/>
      <x:c r="I162" s="11"/>
      <x:c r="J162" s="11"/>
      <x:c r="K162" s="11"/>
      <x:c r="L162" s="11"/>
      <x:c r="M162" s="11"/>
      <x:c r="N162" s="11"/>
      <x:c r="O162" s="11"/>
      <x:c r="P162" s="11"/>
      <x:c r="Q162" s="11"/>
      <x:c r="R162" s="11"/>
      <x:c r="S162" s="11"/>
      <x:c r="T162" s="11"/>
      <x:c r="U162" s="11"/>
      <x:c r="V162" s="11"/>
      <x:c r="W162" s="11"/>
      <x:c r="X162" s="11"/>
    </x:row>
    <x:row r="163">
      <x:c r="A163" s="11"/>
      <x:c r="B163" s="11"/>
      <x:c r="C163" s="11"/>
      <x:c r="D163" s="11"/>
      <x:c r="E163" s="11"/>
      <x:c r="F163" s="11"/>
      <x:c r="G163" s="11"/>
      <x:c r="H163" s="11"/>
      <x:c r="I163" s="11"/>
      <x:c r="J163" s="11"/>
      <x:c r="K163" s="11"/>
      <x:c r="L163" s="11"/>
      <x:c r="M163" s="11"/>
      <x:c r="N163" s="11"/>
      <x:c r="O163" s="11"/>
      <x:c r="P163" s="11"/>
      <x:c r="Q163" s="11"/>
      <x:c r="R163" s="11"/>
      <x:c r="S163" s="11"/>
      <x:c r="T163" s="11"/>
      <x:c r="U163" s="11"/>
      <x:c r="V163" s="11"/>
      <x:c r="W163" s="11"/>
      <x:c r="X163" s="11"/>
    </x:row>
    <x:row r="164">
      <x:c r="A164" s="11"/>
      <x:c r="B164" s="11"/>
      <x:c r="C164" s="11"/>
      <x:c r="D164" s="11"/>
      <x:c r="E164" s="11"/>
      <x:c r="F164" s="11"/>
      <x:c r="G164" s="11"/>
      <x:c r="H164" s="11"/>
      <x:c r="I164" s="11"/>
      <x:c r="J164" s="11"/>
      <x:c r="K164" s="11"/>
      <x:c r="L164" s="11"/>
      <x:c r="M164" s="11"/>
      <x:c r="N164" s="11"/>
      <x:c r="O164" s="11"/>
      <x:c r="P164" s="11"/>
      <x:c r="Q164" s="11"/>
      <x:c r="R164" s="11"/>
      <x:c r="S164" s="11"/>
      <x:c r="T164" s="11"/>
      <x:c r="U164" s="11"/>
      <x:c r="V164" s="11"/>
      <x:c r="W164" s="11"/>
      <x:c r="X164" s="11"/>
    </x:row>
    <x:row r="165">
      <x:c r="A165" s="11"/>
      <x:c r="B165" s="11"/>
      <x:c r="C165" s="11"/>
      <x:c r="D165" s="11"/>
      <x:c r="E165" s="11"/>
      <x:c r="F165" s="11"/>
      <x:c r="G165" s="11"/>
      <x:c r="H165" s="11"/>
      <x:c r="I165" s="11"/>
      <x:c r="J165" s="11"/>
      <x:c r="K165" s="11"/>
      <x:c r="L165" s="11"/>
      <x:c r="M165" s="11"/>
      <x:c r="N165" s="11"/>
      <x:c r="O165" s="11"/>
      <x:c r="P165" s="11"/>
      <x:c r="Q165" s="11"/>
      <x:c r="R165" s="11"/>
      <x:c r="S165" s="11"/>
      <x:c r="T165" s="11"/>
      <x:c r="U165" s="11"/>
      <x:c r="V165" s="11"/>
      <x:c r="W165" s="11"/>
      <x:c r="X165" s="11"/>
    </x:row>
    <x:row r="166">
      <x:c r="A166" s="11"/>
      <x:c r="B166" s="11"/>
      <x:c r="C166" s="11"/>
      <x:c r="D166" s="11"/>
      <x:c r="E166" s="11"/>
      <x:c r="F166" s="11"/>
      <x:c r="G166" s="11"/>
      <x:c r="H166" s="11"/>
      <x:c r="I166" s="11"/>
      <x:c r="J166" s="11"/>
      <x:c r="K166" s="11"/>
      <x:c r="L166" s="11"/>
      <x:c r="M166" s="11"/>
      <x:c r="N166" s="11"/>
      <x:c r="O166" s="11"/>
      <x:c r="P166" s="11"/>
      <x:c r="Q166" s="11"/>
      <x:c r="R166" s="11"/>
      <x:c r="S166" s="11"/>
      <x:c r="T166" s="11"/>
      <x:c r="U166" s="11"/>
      <x:c r="V166" s="11"/>
      <x:c r="W166" s="11"/>
      <x:c r="X166" s="11"/>
    </x:row>
    <x:row r="167">
      <x:c r="A167" s="11"/>
      <x:c r="B167" s="11"/>
      <x:c r="C167" s="11"/>
      <x:c r="D167" s="11"/>
      <x:c r="E167" s="11"/>
      <x:c r="F167" s="11"/>
      <x:c r="G167" s="11"/>
      <x:c r="H167" s="11"/>
      <x:c r="I167" s="11"/>
      <x:c r="J167" s="11"/>
      <x:c r="K167" s="11"/>
      <x:c r="L167" s="11"/>
      <x:c r="M167" s="11"/>
      <x:c r="N167" s="11"/>
      <x:c r="O167" s="11"/>
      <x:c r="P167" s="11"/>
      <x:c r="Q167" s="11"/>
      <x:c r="R167" s="11"/>
      <x:c r="S167" s="11"/>
      <x:c r="T167" s="11"/>
      <x:c r="U167" s="11"/>
      <x:c r="V167" s="11"/>
      <x:c r="W167" s="11"/>
      <x:c r="X167" s="11"/>
    </x:row>
    <x:row r="168">
      <x:c r="A168" s="11"/>
      <x:c r="B168" s="11"/>
      <x:c r="C168" s="11"/>
      <x:c r="D168" s="11"/>
      <x:c r="E168" s="11"/>
      <x:c r="F168" s="11"/>
      <x:c r="G168" s="11"/>
      <x:c r="H168" s="11"/>
      <x:c r="I168" s="11"/>
      <x:c r="J168" s="11"/>
      <x:c r="K168" s="11"/>
      <x:c r="L168" s="11"/>
      <x:c r="M168" s="11"/>
      <x:c r="N168" s="11"/>
      <x:c r="O168" s="11"/>
      <x:c r="P168" s="11"/>
      <x:c r="Q168" s="11"/>
      <x:c r="R168" s="11"/>
      <x:c r="S168" s="11"/>
      <x:c r="T168" s="11"/>
      <x:c r="U168" s="11"/>
      <x:c r="V168" s="11"/>
      <x:c r="W168" s="11"/>
      <x:c r="X168" s="11"/>
    </x:row>
    <x:row r="169">
      <x:c r="A169" s="11"/>
      <x:c r="B169" s="11"/>
      <x:c r="C169" s="11"/>
      <x:c r="D169" s="11"/>
      <x:c r="E169" s="11"/>
      <x:c r="F169" s="11"/>
      <x:c r="G169" s="11"/>
      <x:c r="H169" s="11"/>
      <x:c r="I169" s="11"/>
      <x:c r="J169" s="11"/>
      <x:c r="K169" s="11"/>
      <x:c r="L169" s="11"/>
      <x:c r="M169" s="11"/>
      <x:c r="N169" s="11"/>
      <x:c r="O169" s="11"/>
      <x:c r="P169" s="11"/>
      <x:c r="Q169" s="11"/>
      <x:c r="R169" s="11"/>
      <x:c r="S169" s="11"/>
      <x:c r="T169" s="11"/>
      <x:c r="U169" s="11"/>
      <x:c r="V169" s="11"/>
      <x:c r="W169" s="11"/>
      <x:c r="X169" s="11"/>
    </x:row>
    <x:row r="170">
      <x:c r="A170" s="11"/>
      <x:c r="B170" s="11"/>
      <x:c r="C170" s="11"/>
      <x:c r="D170" s="11"/>
      <x:c r="E170" s="11"/>
      <x:c r="F170" s="11"/>
      <x:c r="G170" s="11"/>
      <x:c r="H170" s="11"/>
      <x:c r="I170" s="11"/>
      <x:c r="J170" s="11"/>
      <x:c r="K170" s="11"/>
      <x:c r="L170" s="11"/>
      <x:c r="M170" s="11"/>
      <x:c r="N170" s="11"/>
      <x:c r="O170" s="11"/>
      <x:c r="P170" s="11"/>
      <x:c r="Q170" s="11"/>
      <x:c r="R170" s="11"/>
      <x:c r="S170" s="11"/>
      <x:c r="T170" s="11"/>
      <x:c r="U170" s="11"/>
      <x:c r="V170" s="11"/>
      <x:c r="W170" s="11"/>
      <x:c r="X170" s="11"/>
    </x:row>
    <x:row r="171">
      <x:c r="A171" s="11"/>
      <x:c r="B171" s="11"/>
      <x:c r="C171" s="11"/>
      <x:c r="D171" s="11"/>
      <x:c r="E171" s="11"/>
      <x:c r="F171" s="11"/>
      <x:c r="G171" s="11"/>
      <x:c r="H171" s="11"/>
      <x:c r="I171" s="11"/>
      <x:c r="J171" s="11"/>
      <x:c r="K171" s="11"/>
      <x:c r="L171" s="11"/>
      <x:c r="M171" s="11"/>
      <x:c r="N171" s="11"/>
      <x:c r="O171" s="11"/>
      <x:c r="P171" s="11"/>
      <x:c r="Q171" s="11"/>
      <x:c r="R171" s="11"/>
      <x:c r="S171" s="11"/>
      <x:c r="T171" s="11"/>
      <x:c r="U171" s="11"/>
      <x:c r="V171" s="11"/>
      <x:c r="W171" s="11"/>
      <x:c r="X171" s="11"/>
    </x:row>
    <x:row r="172">
      <x:c r="A172" s="11"/>
      <x:c r="B172" s="11"/>
      <x:c r="C172" s="11"/>
      <x:c r="D172" s="11"/>
      <x:c r="E172" s="11"/>
      <x:c r="F172" s="11"/>
      <x:c r="G172" s="11"/>
      <x:c r="H172" s="11"/>
      <x:c r="I172" s="11"/>
      <x:c r="J172" s="11"/>
      <x:c r="K172" s="11"/>
      <x:c r="L172" s="11"/>
      <x:c r="M172" s="11"/>
      <x:c r="N172" s="11"/>
      <x:c r="O172" s="11"/>
      <x:c r="P172" s="11"/>
      <x:c r="Q172" s="11"/>
      <x:c r="R172" s="11"/>
      <x:c r="S172" s="11"/>
      <x:c r="T172" s="11"/>
      <x:c r="U172" s="11"/>
      <x:c r="V172" s="11"/>
      <x:c r="W172" s="11"/>
      <x:c r="X172" s="11"/>
    </x:row>
    <x:row r="173">
      <x:c r="A173" s="11"/>
      <x:c r="B173" s="11"/>
      <x:c r="C173" s="11"/>
      <x:c r="D173" s="11"/>
      <x:c r="E173" s="11"/>
      <x:c r="F173" s="11"/>
      <x:c r="G173" s="11"/>
      <x:c r="H173" s="11"/>
      <x:c r="I173" s="11"/>
      <x:c r="J173" s="11"/>
      <x:c r="K173" s="11"/>
      <x:c r="L173" s="11"/>
      <x:c r="M173" s="11"/>
      <x:c r="N173" s="11"/>
      <x:c r="O173" s="11"/>
      <x:c r="P173" s="11"/>
      <x:c r="Q173" s="11"/>
      <x:c r="R173" s="11"/>
      <x:c r="S173" s="11"/>
      <x:c r="T173" s="11"/>
      <x:c r="U173" s="11"/>
      <x:c r="V173" s="11"/>
      <x:c r="W173" s="11"/>
      <x:c r="X173" s="11"/>
    </x:row>
    <x:row r="174">
      <x:c r="A174" s="11"/>
      <x:c r="B174" s="11"/>
      <x:c r="C174" s="11"/>
      <x:c r="D174" s="11"/>
      <x:c r="E174" s="11"/>
      <x:c r="F174" s="11"/>
      <x:c r="G174" s="11"/>
      <x:c r="H174" s="11"/>
      <x:c r="I174" s="11"/>
      <x:c r="J174" s="11"/>
      <x:c r="K174" s="11"/>
      <x:c r="L174" s="11"/>
      <x:c r="M174" s="11"/>
      <x:c r="N174" s="11"/>
      <x:c r="O174" s="11"/>
      <x:c r="P174" s="11"/>
      <x:c r="Q174" s="11"/>
      <x:c r="R174" s="11"/>
      <x:c r="S174" s="11"/>
      <x:c r="T174" s="11"/>
      <x:c r="U174" s="11"/>
      <x:c r="V174" s="11"/>
      <x:c r="W174" s="11"/>
      <x:c r="X174" s="11"/>
    </x:row>
    <x:row r="175">
      <x:c r="A175" s="11"/>
      <x:c r="B175" s="11"/>
      <x:c r="C175" s="11"/>
      <x:c r="D175" s="11"/>
      <x:c r="E175" s="11"/>
      <x:c r="F175" s="11"/>
      <x:c r="G175" s="11"/>
      <x:c r="H175" s="11"/>
      <x:c r="I175" s="11"/>
      <x:c r="J175" s="11"/>
      <x:c r="K175" s="11"/>
      <x:c r="L175" s="11"/>
      <x:c r="M175" s="11"/>
      <x:c r="N175" s="11"/>
      <x:c r="O175" s="11"/>
      <x:c r="P175" s="11"/>
      <x:c r="Q175" s="11"/>
      <x:c r="R175" s="11"/>
      <x:c r="S175" s="11"/>
      <x:c r="T175" s="11"/>
      <x:c r="U175" s="11"/>
      <x:c r="V175" s="11"/>
      <x:c r="W175" s="11"/>
      <x:c r="X175" s="11"/>
    </x:row>
    <x:row r="176">
      <x:c r="A176" s="11"/>
      <x:c r="B176" s="11"/>
      <x:c r="C176" s="11"/>
      <x:c r="D176" s="11"/>
      <x:c r="E176" s="11"/>
      <x:c r="F176" s="11"/>
      <x:c r="G176" s="11"/>
      <x:c r="H176" s="11"/>
      <x:c r="I176" s="11"/>
      <x:c r="J176" s="11"/>
      <x:c r="K176" s="11"/>
      <x:c r="L176" s="11"/>
      <x:c r="M176" s="11"/>
      <x:c r="N176" s="11"/>
      <x:c r="O176" s="11"/>
      <x:c r="P176" s="11"/>
      <x:c r="Q176" s="11"/>
      <x:c r="R176" s="11"/>
      <x:c r="S176" s="11"/>
      <x:c r="T176" s="11"/>
      <x:c r="U176" s="11"/>
      <x:c r="V176" s="11"/>
      <x:c r="W176" s="11"/>
      <x:c r="X176" s="11"/>
    </x:row>
    <x:row r="177">
      <x:c r="A177" s="11"/>
      <x:c r="B177" s="11"/>
      <x:c r="C177" s="11"/>
      <x:c r="D177" s="11"/>
      <x:c r="E177" s="11"/>
      <x:c r="F177" s="11"/>
      <x:c r="G177" s="11"/>
      <x:c r="H177" s="11"/>
      <x:c r="I177" s="11"/>
      <x:c r="J177" s="11"/>
      <x:c r="K177" s="11"/>
      <x:c r="L177" s="11"/>
      <x:c r="M177" s="11"/>
      <x:c r="N177" s="11"/>
      <x:c r="O177" s="11"/>
      <x:c r="P177" s="11"/>
      <x:c r="Q177" s="11"/>
      <x:c r="R177" s="11"/>
      <x:c r="S177" s="11"/>
      <x:c r="T177" s="11"/>
      <x:c r="U177" s="11"/>
      <x:c r="V177" s="11"/>
      <x:c r="W177" s="11"/>
      <x:c r="X177" s="11"/>
    </x:row>
    <x:row r="178">
      <x:c r="A178" s="11"/>
      <x:c r="B178" s="11"/>
      <x:c r="C178" s="11"/>
      <x:c r="D178" s="11"/>
      <x:c r="E178" s="11"/>
      <x:c r="F178" s="11"/>
      <x:c r="G178" s="11"/>
      <x:c r="H178" s="11"/>
      <x:c r="I178" s="11"/>
      <x:c r="J178" s="11"/>
      <x:c r="K178" s="11"/>
      <x:c r="L178" s="11"/>
      <x:c r="M178" s="11"/>
      <x:c r="N178" s="11"/>
      <x:c r="O178" s="11"/>
      <x:c r="P178" s="11"/>
      <x:c r="Q178" s="11"/>
      <x:c r="R178" s="11"/>
      <x:c r="S178" s="11"/>
      <x:c r="T178" s="11"/>
      <x:c r="U178" s="11"/>
      <x:c r="V178" s="11"/>
      <x:c r="W178" s="11"/>
      <x:c r="X178" s="11"/>
    </x:row>
    <x:row r="179">
      <x:c r="A179" s="11"/>
      <x:c r="B179" s="11"/>
      <x:c r="C179" s="11"/>
      <x:c r="D179" s="11"/>
      <x:c r="E179" s="11"/>
      <x:c r="F179" s="11"/>
      <x:c r="G179" s="11"/>
      <x:c r="H179" s="11"/>
      <x:c r="I179" s="11"/>
      <x:c r="J179" s="11"/>
      <x:c r="K179" s="11"/>
      <x:c r="L179" s="11"/>
      <x:c r="M179" s="11"/>
      <x:c r="N179" s="11"/>
      <x:c r="O179" s="11"/>
      <x:c r="P179" s="11"/>
      <x:c r="Q179" s="11"/>
      <x:c r="R179" s="11"/>
      <x:c r="S179" s="11"/>
      <x:c r="T179" s="11"/>
      <x:c r="U179" s="11"/>
      <x:c r="V179" s="11"/>
      <x:c r="W179" s="11"/>
      <x:c r="X179" s="11"/>
    </x:row>
    <x:row r="180">
      <x:c r="A180" s="11"/>
      <x:c r="B180" s="11"/>
      <x:c r="C180" s="11"/>
      <x:c r="D180" s="11"/>
      <x:c r="E180" s="11"/>
      <x:c r="F180" s="11"/>
      <x:c r="G180" s="11"/>
      <x:c r="H180" s="11"/>
      <x:c r="I180" s="11"/>
      <x:c r="J180" s="11"/>
      <x:c r="K180" s="11"/>
      <x:c r="L180" s="11"/>
      <x:c r="M180" s="11"/>
      <x:c r="N180" s="11"/>
      <x:c r="O180" s="11"/>
      <x:c r="P180" s="11"/>
      <x:c r="Q180" s="11"/>
      <x:c r="R180" s="11"/>
      <x:c r="S180" s="11"/>
      <x:c r="T180" s="11"/>
      <x:c r="U180" s="11"/>
      <x:c r="V180" s="11"/>
      <x:c r="W180" s="11"/>
      <x:c r="X180" s="11"/>
    </x:row>
    <x:row r="181">
      <x:c r="A181" s="11"/>
      <x:c r="B181" s="11"/>
      <x:c r="C181" s="11"/>
      <x:c r="D181" s="11"/>
      <x:c r="E181" s="11"/>
      <x:c r="F181" s="11"/>
      <x:c r="G181" s="11"/>
      <x:c r="H181" s="11"/>
      <x:c r="I181" s="11"/>
      <x:c r="J181" s="11"/>
      <x:c r="K181" s="11"/>
      <x:c r="L181" s="11"/>
      <x:c r="M181" s="11"/>
      <x:c r="N181" s="11"/>
      <x:c r="O181" s="11"/>
      <x:c r="P181" s="11"/>
      <x:c r="Q181" s="11"/>
      <x:c r="R181" s="11"/>
      <x:c r="S181" s="11"/>
      <x:c r="T181" s="11"/>
      <x:c r="U181" s="11"/>
      <x:c r="V181" s="11"/>
      <x:c r="W181" s="11"/>
      <x:c r="X181" s="11"/>
    </x:row>
    <x:row r="182">
      <x:c r="A182" s="11"/>
      <x:c r="B182" s="11"/>
      <x:c r="C182" s="11"/>
      <x:c r="D182" s="11"/>
      <x:c r="E182" s="11"/>
      <x:c r="F182" s="11"/>
      <x:c r="G182" s="11"/>
      <x:c r="H182" s="11"/>
      <x:c r="I182" s="11"/>
      <x:c r="J182" s="11"/>
      <x:c r="K182" s="11"/>
      <x:c r="L182" s="11"/>
      <x:c r="M182" s="11"/>
      <x:c r="N182" s="11"/>
      <x:c r="O182" s="11"/>
      <x:c r="P182" s="11"/>
      <x:c r="Q182" s="11"/>
      <x:c r="R182" s="11"/>
      <x:c r="S182" s="11"/>
      <x:c r="T182" s="11"/>
      <x:c r="U182" s="11"/>
      <x:c r="V182" s="11"/>
      <x:c r="W182" s="11"/>
      <x:c r="X182" s="11"/>
    </x:row>
    <x:row r="183">
      <x:c r="A183" s="11"/>
      <x:c r="B183" s="11"/>
      <x:c r="C183" s="11"/>
      <x:c r="D183" s="11"/>
      <x:c r="E183" s="11"/>
      <x:c r="F183" s="11"/>
      <x:c r="G183" s="11"/>
      <x:c r="H183" s="11"/>
      <x:c r="I183" s="11"/>
      <x:c r="J183" s="11"/>
      <x:c r="K183" s="11"/>
      <x:c r="L183" s="11"/>
      <x:c r="M183" s="11"/>
      <x:c r="N183" s="11"/>
      <x:c r="O183" s="11"/>
      <x:c r="P183" s="11"/>
      <x:c r="Q183" s="11"/>
      <x:c r="R183" s="11"/>
      <x:c r="S183" s="11"/>
      <x:c r="T183" s="11"/>
      <x:c r="U183" s="11"/>
      <x:c r="V183" s="11"/>
      <x:c r="W183" s="11"/>
      <x:c r="X183" s="11"/>
    </x:row>
    <x:row r="184">
      <x:c r="A184" s="11"/>
      <x:c r="B184" s="11"/>
      <x:c r="C184" s="11"/>
      <x:c r="D184" s="11"/>
      <x:c r="E184" s="11"/>
      <x:c r="F184" s="11"/>
      <x:c r="G184" s="11"/>
      <x:c r="H184" s="11"/>
      <x:c r="I184" s="11"/>
      <x:c r="J184" s="11"/>
      <x:c r="K184" s="11"/>
      <x:c r="L184" s="11"/>
      <x:c r="M184" s="11"/>
      <x:c r="N184" s="11"/>
      <x:c r="O184" s="11"/>
      <x:c r="P184" s="11"/>
      <x:c r="Q184" s="11"/>
      <x:c r="R184" s="11"/>
      <x:c r="S184" s="11"/>
      <x:c r="T184" s="11"/>
      <x:c r="U184" s="11"/>
      <x:c r="V184" s="11"/>
      <x:c r="W184" s="11"/>
      <x:c r="X184" s="11"/>
    </x:row>
    <x:row r="185">
      <x:c r="A185" s="11"/>
      <x:c r="B185" s="11"/>
      <x:c r="C185" s="11"/>
      <x:c r="D185" s="11"/>
      <x:c r="E185" s="11"/>
      <x:c r="F185" s="11"/>
      <x:c r="G185" s="11"/>
      <x:c r="H185" s="11"/>
      <x:c r="I185" s="11"/>
      <x:c r="J185" s="11"/>
      <x:c r="K185" s="11"/>
      <x:c r="L185" s="11"/>
      <x:c r="M185" s="11"/>
      <x:c r="N185" s="11"/>
      <x:c r="O185" s="11"/>
      <x:c r="P185" s="11"/>
      <x:c r="Q185" s="11"/>
      <x:c r="R185" s="11"/>
      <x:c r="S185" s="11"/>
      <x:c r="T185" s="11"/>
      <x:c r="U185" s="11"/>
      <x:c r="V185" s="11"/>
      <x:c r="W185" s="11"/>
      <x:c r="X185" s="11"/>
    </x:row>
    <x:row r="186">
      <x:c r="A186" s="11"/>
      <x:c r="B186" s="11"/>
      <x:c r="C186" s="11"/>
      <x:c r="D186" s="11"/>
      <x:c r="E186" s="11"/>
      <x:c r="F186" s="11"/>
      <x:c r="G186" s="11"/>
      <x:c r="H186" s="11"/>
      <x:c r="I186" s="11"/>
      <x:c r="J186" s="11"/>
      <x:c r="K186" s="11"/>
      <x:c r="L186" s="11"/>
      <x:c r="M186" s="11"/>
      <x:c r="N186" s="11"/>
      <x:c r="O186" s="11"/>
      <x:c r="P186" s="11"/>
      <x:c r="Q186" s="11"/>
      <x:c r="R186" s="11"/>
      <x:c r="S186" s="11"/>
      <x:c r="T186" s="11"/>
      <x:c r="U186" s="11"/>
      <x:c r="V186" s="11"/>
      <x:c r="W186" s="11"/>
      <x:c r="X186" s="11"/>
    </x:row>
    <x:row r="187">
      <x:c r="A187" s="11"/>
      <x:c r="B187" s="11"/>
      <x:c r="C187" s="11"/>
      <x:c r="D187" s="11"/>
      <x:c r="E187" s="11"/>
      <x:c r="F187" s="11"/>
      <x:c r="G187" s="11"/>
      <x:c r="H187" s="11"/>
      <x:c r="I187" s="11"/>
      <x:c r="J187" s="11"/>
      <x:c r="K187" s="11"/>
      <x:c r="L187" s="11"/>
      <x:c r="M187" s="11"/>
      <x:c r="N187" s="11"/>
      <x:c r="O187" s="11"/>
      <x:c r="P187" s="11"/>
      <x:c r="Q187" s="11"/>
      <x:c r="R187" s="11"/>
      <x:c r="S187" s="11"/>
      <x:c r="T187" s="11"/>
      <x:c r="U187" s="11"/>
      <x:c r="V187" s="11"/>
      <x:c r="W187" s="11"/>
      <x:c r="X187" s="11"/>
    </x:row>
    <x:row r="188">
      <x:c r="A188" s="11"/>
      <x:c r="B188" s="11"/>
      <x:c r="C188" s="11"/>
      <x:c r="D188" s="11"/>
      <x:c r="E188" s="11"/>
      <x:c r="F188" s="11"/>
      <x:c r="G188" s="11"/>
      <x:c r="H188" s="11"/>
      <x:c r="I188" s="11"/>
      <x:c r="J188" s="11"/>
      <x:c r="K188" s="11"/>
      <x:c r="L188" s="11"/>
      <x:c r="M188" s="11"/>
      <x:c r="N188" s="11"/>
      <x:c r="O188" s="11"/>
      <x:c r="P188" s="11"/>
      <x:c r="Q188" s="11"/>
      <x:c r="R188" s="11"/>
      <x:c r="S188" s="11"/>
      <x:c r="T188" s="11"/>
      <x:c r="U188" s="11"/>
      <x:c r="V188" s="11"/>
      <x:c r="W188" s="11"/>
      <x:c r="X188" s="11"/>
    </x:row>
    <x:row r="189">
      <x:c r="A189" s="11"/>
      <x:c r="B189" s="11"/>
      <x:c r="C189" s="11"/>
      <x:c r="D189" s="11"/>
      <x:c r="E189" s="11"/>
      <x:c r="F189" s="11"/>
      <x:c r="G189" s="11"/>
      <x:c r="H189" s="11"/>
      <x:c r="I189" s="11"/>
      <x:c r="J189" s="11"/>
      <x:c r="K189" s="11"/>
      <x:c r="L189" s="11"/>
      <x:c r="M189" s="11"/>
      <x:c r="N189" s="11"/>
      <x:c r="O189" s="11"/>
      <x:c r="P189" s="11"/>
      <x:c r="Q189" s="11"/>
      <x:c r="R189" s="11"/>
      <x:c r="S189" s="11"/>
      <x:c r="T189" s="11"/>
      <x:c r="U189" s="11"/>
      <x:c r="V189" s="11"/>
      <x:c r="W189" s="11"/>
      <x:c r="X189" s="11"/>
    </x:row>
    <x:row r="190">
      <x:c r="A190" s="11"/>
      <x:c r="B190" s="11"/>
      <x:c r="C190" s="11"/>
      <x:c r="D190" s="11"/>
      <x:c r="E190" s="11"/>
      <x:c r="F190" s="11"/>
      <x:c r="G190" s="11"/>
      <x:c r="H190" s="11"/>
      <x:c r="I190" s="11"/>
      <x:c r="J190" s="11"/>
      <x:c r="K190" s="11"/>
      <x:c r="L190" s="11"/>
      <x:c r="M190" s="11"/>
      <x:c r="N190" s="11"/>
      <x:c r="O190" s="11"/>
      <x:c r="P190" s="11"/>
      <x:c r="Q190" s="11"/>
      <x:c r="R190" s="11"/>
      <x:c r="S190" s="11"/>
      <x:c r="T190" s="11"/>
      <x:c r="U190" s="11"/>
      <x:c r="V190" s="11"/>
      <x:c r="W190" s="11"/>
      <x:c r="X190" s="11"/>
    </x:row>
    <x:row r="191">
      <x:c r="A191" s="11"/>
      <x:c r="B191" s="11"/>
      <x:c r="C191" s="11"/>
      <x:c r="D191" s="11"/>
      <x:c r="E191" s="11"/>
      <x:c r="F191" s="11"/>
      <x:c r="G191" s="11"/>
      <x:c r="H191" s="11"/>
      <x:c r="I191" s="11"/>
      <x:c r="J191" s="11"/>
      <x:c r="K191" s="11"/>
      <x:c r="L191" s="11"/>
      <x:c r="M191" s="11"/>
      <x:c r="N191" s="11"/>
      <x:c r="O191" s="11"/>
      <x:c r="P191" s="11"/>
      <x:c r="Q191" s="11"/>
      <x:c r="R191" s="11"/>
      <x:c r="S191" s="11"/>
      <x:c r="T191" s="11"/>
      <x:c r="U191" s="11"/>
      <x:c r="V191" s="11"/>
      <x:c r="W191" s="11"/>
      <x:c r="X191" s="11"/>
    </x:row>
    <x:row r="192">
      <x:c r="A192" s="11"/>
      <x:c r="B192" s="11"/>
      <x:c r="C192" s="11"/>
      <x:c r="D192" s="11"/>
      <x:c r="E192" s="11"/>
      <x:c r="F192" s="11"/>
      <x:c r="G192" s="11"/>
      <x:c r="H192" s="11"/>
      <x:c r="I192" s="11"/>
      <x:c r="J192" s="11"/>
      <x:c r="K192" s="11"/>
      <x:c r="L192" s="11"/>
      <x:c r="M192" s="11"/>
      <x:c r="N192" s="11"/>
      <x:c r="O192" s="11"/>
      <x:c r="P192" s="11"/>
      <x:c r="Q192" s="11"/>
      <x:c r="R192" s="11"/>
      <x:c r="S192" s="11"/>
      <x:c r="T192" s="11"/>
      <x:c r="U192" s="11"/>
      <x:c r="V192" s="11"/>
      <x:c r="W192" s="11"/>
      <x:c r="X192" s="11"/>
    </x:row>
    <x:row r="193">
      <x:c r="A193" s="11"/>
      <x:c r="B193" s="11"/>
      <x:c r="C193" s="11"/>
      <x:c r="D193" s="11"/>
      <x:c r="E193" s="11"/>
      <x:c r="F193" s="11"/>
      <x:c r="G193" s="11"/>
      <x:c r="H193" s="11"/>
      <x:c r="I193" s="11"/>
      <x:c r="J193" s="11"/>
      <x:c r="K193" s="11"/>
      <x:c r="L193" s="11"/>
      <x:c r="M193" s="11"/>
      <x:c r="N193" s="11"/>
      <x:c r="O193" s="11"/>
      <x:c r="P193" s="11"/>
      <x:c r="Q193" s="11"/>
      <x:c r="R193" s="11"/>
      <x:c r="S193" s="11"/>
      <x:c r="T193" s="11"/>
      <x:c r="U193" s="11"/>
      <x:c r="V193" s="11"/>
      <x:c r="W193" s="11"/>
      <x:c r="X193" s="11"/>
    </x:row>
    <x:row r="194">
      <x:c r="A194" s="11"/>
      <x:c r="B194" s="11"/>
      <x:c r="C194" s="11"/>
      <x:c r="D194" s="11"/>
      <x:c r="E194" s="11"/>
      <x:c r="F194" s="11"/>
      <x:c r="G194" s="11"/>
      <x:c r="H194" s="11"/>
      <x:c r="I194" s="11"/>
      <x:c r="J194" s="11"/>
      <x:c r="K194" s="11"/>
      <x:c r="L194" s="11"/>
      <x:c r="M194" s="11"/>
      <x:c r="N194" s="11"/>
      <x:c r="O194" s="11"/>
      <x:c r="P194" s="11"/>
      <x:c r="Q194" s="11"/>
      <x:c r="R194" s="11"/>
      <x:c r="S194" s="11"/>
      <x:c r="T194" s="11"/>
      <x:c r="U194" s="11"/>
      <x:c r="V194" s="11"/>
      <x:c r="W194" s="11"/>
      <x:c r="X194" s="11"/>
    </x:row>
    <x:row r="195">
      <x:c r="A195" s="11"/>
      <x:c r="B195" s="11"/>
      <x:c r="C195" s="11"/>
      <x:c r="D195" s="11"/>
      <x:c r="E195" s="11"/>
      <x:c r="F195" s="11"/>
      <x:c r="G195" s="11"/>
      <x:c r="H195" s="11"/>
      <x:c r="I195" s="11"/>
      <x:c r="J195" s="11"/>
      <x:c r="K195" s="11"/>
      <x:c r="L195" s="11"/>
      <x:c r="M195" s="11"/>
      <x:c r="N195" s="11"/>
      <x:c r="O195" s="11"/>
      <x:c r="P195" s="11"/>
      <x:c r="Q195" s="11"/>
      <x:c r="R195" s="11"/>
      <x:c r="S195" s="11"/>
      <x:c r="T195" s="11"/>
      <x:c r="U195" s="11"/>
      <x:c r="V195" s="11"/>
      <x:c r="W195" s="11"/>
      <x:c r="X195" s="11"/>
    </x:row>
    <x:row r="196">
      <x:c r="A196" s="11"/>
      <x:c r="B196" s="11"/>
      <x:c r="C196" s="11"/>
      <x:c r="D196" s="11"/>
      <x:c r="E196" s="11"/>
      <x:c r="F196" s="11"/>
      <x:c r="G196" s="11"/>
      <x:c r="H196" s="11"/>
      <x:c r="I196" s="11"/>
      <x:c r="J196" s="11"/>
      <x:c r="K196" s="11"/>
      <x:c r="L196" s="11"/>
      <x:c r="M196" s="11"/>
      <x:c r="N196" s="11"/>
      <x:c r="O196" s="11"/>
      <x:c r="P196" s="11"/>
      <x:c r="Q196" s="11"/>
      <x:c r="R196" s="11"/>
      <x:c r="S196" s="11"/>
      <x:c r="T196" s="11"/>
      <x:c r="U196" s="11"/>
      <x:c r="V196" s="11"/>
      <x:c r="W196" s="11"/>
      <x:c r="X196" s="11"/>
    </x:row>
    <x:row r="197">
      <x:c r="A197" s="11"/>
      <x:c r="B197" s="11"/>
      <x:c r="C197" s="11"/>
      <x:c r="D197" s="11"/>
      <x:c r="E197" s="11"/>
      <x:c r="F197" s="11"/>
      <x:c r="G197" s="11"/>
      <x:c r="H197" s="11"/>
      <x:c r="I197" s="11"/>
      <x:c r="J197" s="11"/>
      <x:c r="K197" s="11"/>
      <x:c r="L197" s="11"/>
      <x:c r="M197" s="11"/>
      <x:c r="N197" s="11"/>
      <x:c r="O197" s="11"/>
      <x:c r="P197" s="11"/>
      <x:c r="Q197" s="11"/>
      <x:c r="R197" s="11"/>
      <x:c r="S197" s="11"/>
      <x:c r="T197" s="11"/>
      <x:c r="U197" s="11"/>
      <x:c r="V197" s="11"/>
      <x:c r="W197" s="11"/>
      <x:c r="X197" s="11"/>
    </x:row>
    <x:row r="198">
      <x:c r="A198" s="11"/>
      <x:c r="B198" s="11"/>
      <x:c r="C198" s="11"/>
      <x:c r="D198" s="11"/>
      <x:c r="E198" s="11"/>
      <x:c r="F198" s="11"/>
      <x:c r="G198" s="11"/>
      <x:c r="H198" s="11"/>
      <x:c r="I198" s="11"/>
      <x:c r="J198" s="11"/>
      <x:c r="K198" s="11"/>
      <x:c r="L198" s="11"/>
      <x:c r="M198" s="11"/>
      <x:c r="N198" s="11"/>
      <x:c r="O198" s="11"/>
      <x:c r="P198" s="11"/>
      <x:c r="Q198" s="11"/>
      <x:c r="R198" s="11"/>
      <x:c r="S198" s="11"/>
      <x:c r="T198" s="11"/>
      <x:c r="U198" s="11"/>
      <x:c r="V198" s="11"/>
      <x:c r="W198" s="11"/>
      <x:c r="X198" s="11"/>
    </x:row>
    <x:row r="199">
      <x:c r="A199" s="11"/>
      <x:c r="B199" s="11"/>
      <x:c r="C199" s="11"/>
      <x:c r="D199" s="11"/>
      <x:c r="E199" s="11"/>
      <x:c r="F199" s="11"/>
      <x:c r="G199" s="11"/>
      <x:c r="H199" s="11"/>
      <x:c r="I199" s="11"/>
      <x:c r="J199" s="11"/>
      <x:c r="K199" s="11"/>
      <x:c r="L199" s="11"/>
      <x:c r="M199" s="11"/>
      <x:c r="N199" s="11"/>
      <x:c r="O199" s="11"/>
      <x:c r="P199" s="11"/>
      <x:c r="Q199" s="11"/>
      <x:c r="R199" s="11"/>
      <x:c r="S199" s="11"/>
      <x:c r="T199" s="11"/>
      <x:c r="U199" s="11"/>
      <x:c r="V199" s="11"/>
      <x:c r="W199" s="11"/>
      <x:c r="X199" s="11"/>
    </x:row>
    <x:row r="200">
      <x:c r="A200" s="11"/>
      <x:c r="B200" s="11"/>
      <x:c r="C200" s="11"/>
      <x:c r="D200" s="11"/>
      <x:c r="E200" s="11"/>
      <x:c r="F200" s="11"/>
      <x:c r="G200" s="11"/>
      <x:c r="H200" s="11"/>
      <x:c r="I200" s="11"/>
      <x:c r="J200" s="11"/>
      <x:c r="K200" s="11"/>
      <x:c r="L200" s="11"/>
      <x:c r="M200" s="11"/>
      <x:c r="N200" s="11"/>
      <x:c r="O200" s="11"/>
      <x:c r="P200" s="11"/>
      <x:c r="Q200" s="11"/>
      <x:c r="R200" s="11"/>
      <x:c r="S200" s="11"/>
      <x:c r="T200" s="11"/>
      <x:c r="U200" s="11"/>
      <x:c r="V200" s="11"/>
      <x:c r="W200" s="11"/>
      <x:c r="X200" s="11"/>
    </x:row>
  </x:sheetData>
  <x:conditionalFormatting sqref="M2:M200">
    <x:cfRule type="expression" dxfId="0" priority="1">
      <x:formula>M2="RED"</x:formula>
    </x:cfRule>
    <x:cfRule type="expression" dxfId="1" priority="2">
      <x:formula>M2="YELLOW"</x:formula>
    </x:cfRule>
    <x:cfRule type="expression" dxfId="2" priority="3">
      <x:formula>M2="GREEN"</x:formula>
    </x:cfRule>
  </x:conditionalFormatting>
  <x:conditionalFormatting sqref="N2:N200">
    <x:cfRule type="expression" dxfId="3" priority="4">
      <x:formula>N2="Saved in Obsidian"</x:formula>
    </x:cfRule>
    <x:cfRule type="expression" dxfId="4" priority="5">
      <x:formula>N2="Needs Rework"</x:formula>
    </x:cfRule>
  </x:conditionalFormatting>
  <x:conditionalFormatting sqref="L2:L200">
    <x:cfRule type="expression" dxfId="5" priority="6">
      <x:formula>L2="High"</x:formula>
    </x:cfRule>
  </x:conditionalFormatting>
  <x:dataValidations count="5">
    <x:dataValidation type="list" sqref="I2:K200">
      <x:formula1>Cluster_Codes!$A$2:$A$9</x:formula1>
    </x:dataValidation>
    <x:dataValidation type="list" sqref="L2:L200">
      <x:formula1>"High,Medium,Low,Review"</x:formula1>
    </x:dataValidation>
    <x:dataValidation type="list" sqref="M2:M200">
      <x:formula1>"GREEN,YELLOW,RED"</x:formula1>
    </x:dataValidation>
    <x:dataValidation type="list" sqref="N2:N200">
      <x:formula1>"Not Started,Notebook Loaded,Extracted in NotebookLM,Normalized in ChatGPT,Saved in Obsidian,Diego Reviewed,Needs Rework,Skipped"</x:formula1>
    </x:dataValidation>
    <x:dataValidation type="list" sqref="U2:W200">
      <x:formula1>"Yes,No"</x:formula1>
    </x:dataValidation>
  </x:dataValidations>
  <x:pageMargins left="0.7" right="0.7" top="0.75" bottom="0.75" header="0.3" footer="0.3"/>
  <x:tableParts count="1">
    <x:tablePart xmlns:r="http://schemas.openxmlformats.org/officeDocument/2006/relationships" r:id="R9f2c7c64b7c84a43"/>
  </x:tableParts>
</x:worksheet>
</file>

<file path=xl/worksheets/sheet6.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8" hidden="0" customWidth="1"/>
    <x:col min="6" max="6" width="40" hidden="0" customWidth="1"/>
    <x:col min="7" max="7" width="40" hidden="0" customWidth="1"/>
    <x:col min="8" max="8" width="40" hidden="0" customWidth="1"/>
    <x:col min="9" max="9" width="40" hidden="0" customWidth="1"/>
    <x:col min="10" max="10" width="40" hidden="0" customWidth="1"/>
    <x:col min="11" max="11" width="40" hidden="0" customWidth="1"/>
  </x:cols>
  <x:sheetData>
    <x:row r="1">
      <x:c r="A1" s="10" t="str">
        <x:v>block_id</x:v>
      </x:c>
      <x:c r="B1" s="10" t="str">
        <x:v>date</x:v>
      </x:c>
      <x:c r="C1" s="10" t="str">
        <x:v>start_time</x:v>
      </x:c>
      <x:c r="D1" s="10" t="str">
        <x:v>end_time</x:v>
      </x:c>
      <x:c r="E1" s="10" t="str">
        <x:v>RA_name</x:v>
      </x:c>
      <x:c r="F1" s="10" t="str">
        <x:v>PDFs_processed</x:v>
      </x:c>
      <x:c r="G1" s="10" t="str">
        <x:v>notes_created</x:v>
      </x:c>
      <x:c r="H1" s="10" t="str">
        <x:v>yellow_cases</x:v>
      </x:c>
      <x:c r="I1" s="10" t="str">
        <x:v>red_cases</x:v>
      </x:c>
      <x:c r="J1" s="10" t="str">
        <x:v>Diego_decision</x:v>
      </x:c>
      <x:c r="K1" s="10" t="str">
        <x:v>next_block_plan</x:v>
      </x:c>
    </x:row>
    <x:row r="2">
      <x:c r="A2" s="11" t="str">
        <x:v>BLOCK_001</x:v>
      </x:c>
      <x:c r="B2" s="11" t="str"/>
      <x:c r="C2" s="11" t="str"/>
      <x:c r="D2" s="11" t="str"/>
      <x:c r="E2" s="11" t="str"/>
      <x:c r="F2" s="11" t="str"/>
      <x:c r="G2" s="11" t="str"/>
      <x:c r="H2" s="11" t="str"/>
      <x:c r="I2" s="11" t="str"/>
      <x:c r="J2" s="11" t="str"/>
      <x:c r="K2" s="11" t="str"/>
    </x:row>
    <x:row r="3">
      <x:c r="A3" s="11" t="str">
        <x:v>BLOCK_002</x:v>
      </x:c>
      <x:c r="B3" s="11" t="str"/>
      <x:c r="C3" s="11" t="str"/>
      <x:c r="D3" s="11" t="str"/>
      <x:c r="E3" s="11" t="str"/>
      <x:c r="F3" s="11" t="str"/>
      <x:c r="G3" s="11" t="str"/>
      <x:c r="H3" s="11" t="str"/>
      <x:c r="I3" s="11" t="str"/>
      <x:c r="J3" s="11" t="str"/>
      <x:c r="K3" s="11" t="str"/>
    </x:row>
    <x:row r="4">
      <x:c r="A4" s="11" t="str">
        <x:v>BLOCK_003</x:v>
      </x:c>
      <x:c r="B4" s="11" t="str"/>
      <x:c r="C4" s="11" t="str"/>
      <x:c r="D4" s="11" t="str"/>
      <x:c r="E4" s="11" t="str"/>
      <x:c r="F4" s="11" t="str"/>
      <x:c r="G4" s="11" t="str"/>
      <x:c r="H4" s="11" t="str"/>
      <x:c r="I4" s="11" t="str"/>
      <x:c r="J4" s="11" t="str"/>
      <x:c r="K4" s="11" t="str"/>
    </x:row>
    <x:row r="5">
      <x:c r="A5" s="11" t="str">
        <x:v>BLOCK_004</x:v>
      </x:c>
      <x:c r="B5" s="11" t="str"/>
      <x:c r="C5" s="11" t="str"/>
      <x:c r="D5" s="11" t="str"/>
      <x:c r="E5" s="11" t="str"/>
      <x:c r="F5" s="11" t="str"/>
      <x:c r="G5" s="11" t="str"/>
      <x:c r="H5" s="11" t="str"/>
      <x:c r="I5" s="11" t="str"/>
      <x:c r="J5" s="11" t="str"/>
      <x:c r="K5" s="11" t="str"/>
    </x:row>
    <x:row r="6">
      <x:c r="A6" s="11" t="str">
        <x:v>BLOCK_005</x:v>
      </x:c>
      <x:c r="B6" s="11" t="str"/>
      <x:c r="C6" s="11" t="str"/>
      <x:c r="D6" s="11" t="str"/>
      <x:c r="E6" s="11" t="str"/>
      <x:c r="F6" s="11" t="str"/>
      <x:c r="G6" s="11" t="str"/>
      <x:c r="H6" s="11" t="str"/>
      <x:c r="I6" s="11" t="str"/>
      <x:c r="J6" s="11" t="str"/>
      <x:c r="K6" s="11" t="str"/>
    </x:row>
    <x:row r="7">
      <x:c r="A7" s="11" t="str">
        <x:v>BLOCK_006</x:v>
      </x:c>
      <x:c r="B7" s="11" t="str"/>
      <x:c r="C7" s="11" t="str"/>
      <x:c r="D7" s="11" t="str"/>
      <x:c r="E7" s="11" t="str"/>
      <x:c r="F7" s="11" t="str"/>
      <x:c r="G7" s="11" t="str"/>
      <x:c r="H7" s="11" t="str"/>
      <x:c r="I7" s="11" t="str"/>
      <x:c r="J7" s="11" t="str"/>
      <x:c r="K7" s="11" t="str"/>
    </x:row>
    <x:row r="8">
      <x:c r="A8" s="11" t="str">
        <x:v>BLOCK_007</x:v>
      </x:c>
      <x:c r="B8" s="11" t="str"/>
      <x:c r="C8" s="11" t="str"/>
      <x:c r="D8" s="11" t="str"/>
      <x:c r="E8" s="11" t="str"/>
      <x:c r="F8" s="11" t="str"/>
      <x:c r="G8" s="11" t="str"/>
      <x:c r="H8" s="11" t="str"/>
      <x:c r="I8" s="11" t="str"/>
      <x:c r="J8" s="11" t="str"/>
      <x:c r="K8" s="11" t="str"/>
    </x:row>
    <x:row r="9">
      <x:c r="A9" s="11" t="str">
        <x:v>BLOCK_008</x:v>
      </x:c>
      <x:c r="B9" s="11" t="str"/>
      <x:c r="C9" s="11" t="str"/>
      <x:c r="D9" s="11" t="str"/>
      <x:c r="E9" s="11" t="str"/>
      <x:c r="F9" s="11" t="str"/>
      <x:c r="G9" s="11" t="str"/>
      <x:c r="H9" s="11" t="str"/>
      <x:c r="I9" s="11" t="str"/>
      <x:c r="J9" s="11" t="str"/>
      <x:c r="K9" s="11" t="str"/>
    </x:row>
    <x:row r="10">
      <x:c r="A10" s="11" t="str">
        <x:v>BLOCK_009</x:v>
      </x:c>
      <x:c r="B10" s="11" t="str"/>
      <x:c r="C10" s="11" t="str"/>
      <x:c r="D10" s="11" t="str"/>
      <x:c r="E10" s="11" t="str"/>
      <x:c r="F10" s="11" t="str"/>
      <x:c r="G10" s="11" t="str"/>
      <x:c r="H10" s="11" t="str"/>
      <x:c r="I10" s="11" t="str"/>
      <x:c r="J10" s="11" t="str"/>
      <x:c r="K10" s="11" t="str"/>
    </x:row>
    <x:row r="11">
      <x:c r="A11" s="11" t="str">
        <x:v>BLOCK_010</x:v>
      </x:c>
      <x:c r="B11" s="11" t="str"/>
      <x:c r="C11" s="11" t="str"/>
      <x:c r="D11" s="11" t="str"/>
      <x:c r="E11" s="11" t="str"/>
      <x:c r="F11" s="11" t="str"/>
      <x:c r="G11" s="11" t="str"/>
      <x:c r="H11" s="11" t="str"/>
      <x:c r="I11" s="11" t="str"/>
      <x:c r="J11" s="11" t="str"/>
      <x:c r="K11" s="11" t="str"/>
    </x:row>
    <x:row r="12">
      <x:c r="A12" s="11" t="str">
        <x:v>BLOCK_011</x:v>
      </x:c>
      <x:c r="B12" s="11" t="str"/>
      <x:c r="C12" s="11" t="str"/>
      <x:c r="D12" s="11" t="str"/>
      <x:c r="E12" s="11" t="str"/>
      <x:c r="F12" s="11" t="str"/>
      <x:c r="G12" s="11" t="str"/>
      <x:c r="H12" s="11" t="str"/>
      <x:c r="I12" s="11" t="str"/>
      <x:c r="J12" s="11" t="str"/>
      <x:c r="K12" s="11" t="str"/>
    </x:row>
    <x:row r="13">
      <x:c r="A13" s="11" t="str">
        <x:v>BLOCK_012</x:v>
      </x:c>
      <x:c r="B13" s="11" t="str"/>
      <x:c r="C13" s="11" t="str"/>
      <x:c r="D13" s="11" t="str"/>
      <x:c r="E13" s="11" t="str"/>
      <x:c r="F13" s="11" t="str"/>
      <x:c r="G13" s="11" t="str"/>
      <x:c r="H13" s="11" t="str"/>
      <x:c r="I13" s="11" t="str"/>
      <x:c r="J13" s="11" t="str"/>
      <x:c r="K13" s="11" t="str"/>
    </x:row>
    <x:row r="14">
      <x:c r="A14" s="11" t="str">
        <x:v>BLOCK_013</x:v>
      </x:c>
      <x:c r="B14" s="11" t="str"/>
      <x:c r="C14" s="11" t="str"/>
      <x:c r="D14" s="11" t="str"/>
      <x:c r="E14" s="11" t="str"/>
      <x:c r="F14" s="11" t="str"/>
      <x:c r="G14" s="11" t="str"/>
      <x:c r="H14" s="11" t="str"/>
      <x:c r="I14" s="11" t="str"/>
      <x:c r="J14" s="11" t="str"/>
      <x:c r="K14" s="11" t="str"/>
    </x:row>
    <x:row r="15">
      <x:c r="A15" s="11" t="str">
        <x:v>BLOCK_014</x:v>
      </x:c>
      <x:c r="B15" s="11" t="str"/>
      <x:c r="C15" s="11" t="str"/>
      <x:c r="D15" s="11" t="str"/>
      <x:c r="E15" s="11" t="str"/>
      <x:c r="F15" s="11" t="str"/>
      <x:c r="G15" s="11" t="str"/>
      <x:c r="H15" s="11" t="str"/>
      <x:c r="I15" s="11" t="str"/>
      <x:c r="J15" s="11" t="str"/>
      <x:c r="K15" s="11" t="str"/>
    </x:row>
    <x:row r="16">
      <x:c r="A16" s="11" t="str">
        <x:v>BLOCK_015</x:v>
      </x:c>
      <x:c r="B16" s="11" t="str"/>
      <x:c r="C16" s="11" t="str"/>
      <x:c r="D16" s="11" t="str"/>
      <x:c r="E16" s="11" t="str"/>
      <x:c r="F16" s="11" t="str"/>
      <x:c r="G16" s="11" t="str"/>
      <x:c r="H16" s="11" t="str"/>
      <x:c r="I16" s="11" t="str"/>
      <x:c r="J16" s="11" t="str"/>
      <x:c r="K16" s="11" t="str"/>
    </x:row>
    <x:row r="17">
      <x:c r="A17" s="11" t="str">
        <x:v>BLOCK_016</x:v>
      </x:c>
      <x:c r="B17" s="11" t="str"/>
      <x:c r="C17" s="11" t="str"/>
      <x:c r="D17" s="11" t="str"/>
      <x:c r="E17" s="11" t="str"/>
      <x:c r="F17" s="11" t="str"/>
      <x:c r="G17" s="11" t="str"/>
      <x:c r="H17" s="11" t="str"/>
      <x:c r="I17" s="11" t="str"/>
      <x:c r="J17" s="11" t="str"/>
      <x:c r="K17" s="11" t="str"/>
    </x:row>
    <x:row r="18">
      <x:c r="A18" s="11" t="str">
        <x:v>BLOCK_017</x:v>
      </x:c>
      <x:c r="B18" s="11" t="str"/>
      <x:c r="C18" s="11" t="str"/>
      <x:c r="D18" s="11" t="str"/>
      <x:c r="E18" s="11" t="str"/>
      <x:c r="F18" s="11" t="str"/>
      <x:c r="G18" s="11" t="str"/>
      <x:c r="H18" s="11" t="str"/>
      <x:c r="I18" s="11" t="str"/>
      <x:c r="J18" s="11" t="str"/>
      <x:c r="K18" s="11" t="str"/>
    </x:row>
    <x:row r="19">
      <x:c r="A19" s="11" t="str">
        <x:v>BLOCK_018</x:v>
      </x:c>
      <x:c r="B19" s="11" t="str"/>
      <x:c r="C19" s="11" t="str"/>
      <x:c r="D19" s="11" t="str"/>
      <x:c r="E19" s="11" t="str"/>
      <x:c r="F19" s="11" t="str"/>
      <x:c r="G19" s="11" t="str"/>
      <x:c r="H19" s="11" t="str"/>
      <x:c r="I19" s="11" t="str"/>
      <x:c r="J19" s="11" t="str"/>
      <x:c r="K19" s="11" t="str"/>
    </x:row>
    <x:row r="20">
      <x:c r="A20" s="11" t="str">
        <x:v>BLOCK_019</x:v>
      </x:c>
      <x:c r="B20" s="11" t="str"/>
      <x:c r="C20" s="11" t="str"/>
      <x:c r="D20" s="11" t="str"/>
      <x:c r="E20" s="11" t="str"/>
      <x:c r="F20" s="11" t="str"/>
      <x:c r="G20" s="11" t="str"/>
      <x:c r="H20" s="11" t="str"/>
      <x:c r="I20" s="11" t="str"/>
      <x:c r="J20" s="11" t="str"/>
      <x:c r="K20" s="11" t="str"/>
    </x:row>
    <x:row r="21">
      <x:c r="A21" s="11" t="str">
        <x:v>BLOCK_020</x:v>
      </x:c>
      <x:c r="B21" s="11" t="str"/>
      <x:c r="C21" s="11" t="str"/>
      <x:c r="D21" s="11" t="str"/>
      <x:c r="E21" s="11" t="str"/>
      <x:c r="F21" s="11" t="str"/>
      <x:c r="G21" s="11" t="str"/>
      <x:c r="H21" s="11" t="str"/>
      <x:c r="I21" s="11" t="str"/>
      <x:c r="J21" s="11" t="str"/>
      <x:c r="K21" s="11" t="str"/>
    </x:row>
    <x:row r="22">
      <x:c r="A22" s="11"/>
      <x:c r="B22" s="11"/>
      <x:c r="C22" s="11"/>
      <x:c r="D22" s="11"/>
      <x:c r="E22" s="11"/>
      <x:c r="F22" s="11"/>
      <x:c r="G22" s="11"/>
      <x:c r="H22" s="11"/>
      <x:c r="I22" s="11"/>
      <x:c r="J22" s="11"/>
      <x:c r="K22" s="11"/>
    </x:row>
    <x:row r="23">
      <x:c r="A23" s="11"/>
      <x:c r="B23" s="11"/>
      <x:c r="C23" s="11"/>
      <x:c r="D23" s="11"/>
      <x:c r="E23" s="11"/>
      <x:c r="F23" s="11"/>
      <x:c r="G23" s="11"/>
      <x:c r="H23" s="11"/>
      <x:c r="I23" s="11"/>
      <x:c r="J23" s="11"/>
      <x:c r="K23" s="11"/>
    </x:row>
    <x:row r="24">
      <x:c r="A24" s="11"/>
      <x:c r="B24" s="11"/>
      <x:c r="C24" s="11"/>
      <x:c r="D24" s="11"/>
      <x:c r="E24" s="11"/>
      <x:c r="F24" s="11"/>
      <x:c r="G24" s="11"/>
      <x:c r="H24" s="11"/>
      <x:c r="I24" s="11"/>
      <x:c r="J24" s="11"/>
      <x:c r="K24" s="11"/>
    </x:row>
    <x:row r="25">
      <x:c r="A25" s="11"/>
      <x:c r="B25" s="11"/>
      <x:c r="C25" s="11"/>
      <x:c r="D25" s="11"/>
      <x:c r="E25" s="11"/>
      <x:c r="F25" s="11"/>
      <x:c r="G25" s="11"/>
      <x:c r="H25" s="11"/>
      <x:c r="I25" s="11"/>
      <x:c r="J25" s="11"/>
      <x:c r="K25" s="11"/>
    </x:row>
    <x:row r="26">
      <x:c r="A26" s="11"/>
      <x:c r="B26" s="11"/>
      <x:c r="C26" s="11"/>
      <x:c r="D26" s="11"/>
      <x:c r="E26" s="11"/>
      <x:c r="F26" s="11"/>
      <x:c r="G26" s="11"/>
      <x:c r="H26" s="11"/>
      <x:c r="I26" s="11"/>
      <x:c r="J26" s="11"/>
      <x:c r="K26" s="11"/>
    </x:row>
    <x:row r="27">
      <x:c r="A27" s="11"/>
      <x:c r="B27" s="11"/>
      <x:c r="C27" s="11"/>
      <x:c r="D27" s="11"/>
      <x:c r="E27" s="11"/>
      <x:c r="F27" s="11"/>
      <x:c r="G27" s="11"/>
      <x:c r="H27" s="11"/>
      <x:c r="I27" s="11"/>
      <x:c r="J27" s="11"/>
      <x:c r="K27" s="11"/>
    </x:row>
    <x:row r="28">
      <x:c r="A28" s="11"/>
      <x:c r="B28" s="11"/>
      <x:c r="C28" s="11"/>
      <x:c r="D28" s="11"/>
      <x:c r="E28" s="11"/>
      <x:c r="F28" s="11"/>
      <x:c r="G28" s="11"/>
      <x:c r="H28" s="11"/>
      <x:c r="I28" s="11"/>
      <x:c r="J28" s="11"/>
      <x:c r="K28" s="11"/>
    </x:row>
    <x:row r="29">
      <x:c r="A29" s="11"/>
      <x:c r="B29" s="11"/>
      <x:c r="C29" s="11"/>
      <x:c r="D29" s="11"/>
      <x:c r="E29" s="11"/>
      <x:c r="F29" s="11"/>
      <x:c r="G29" s="11"/>
      <x:c r="H29" s="11"/>
      <x:c r="I29" s="11"/>
      <x:c r="J29" s="11"/>
      <x:c r="K29" s="11"/>
    </x:row>
    <x:row r="30">
      <x:c r="A30" s="11"/>
      <x:c r="B30" s="11"/>
      <x:c r="C30" s="11"/>
      <x:c r="D30" s="11"/>
      <x:c r="E30" s="11"/>
      <x:c r="F30" s="11"/>
      <x:c r="G30" s="11"/>
      <x:c r="H30" s="11"/>
      <x:c r="I30" s="11"/>
      <x:c r="J30" s="11"/>
      <x:c r="K30" s="11"/>
    </x:row>
    <x:row r="31">
      <x:c r="A31" s="11"/>
      <x:c r="B31" s="11"/>
      <x:c r="C31" s="11"/>
      <x:c r="D31" s="11"/>
      <x:c r="E31" s="11"/>
      <x:c r="F31" s="11"/>
      <x:c r="G31" s="11"/>
      <x:c r="H31" s="11"/>
      <x:c r="I31" s="11"/>
      <x:c r="J31" s="11"/>
      <x:c r="K31" s="11"/>
    </x:row>
    <x:row r="32">
      <x:c r="A32" s="11"/>
      <x:c r="B32" s="11"/>
      <x:c r="C32" s="11"/>
      <x:c r="D32" s="11"/>
      <x:c r="E32" s="11"/>
      <x:c r="F32" s="11"/>
      <x:c r="G32" s="11"/>
      <x:c r="H32" s="11"/>
      <x:c r="I32" s="11"/>
      <x:c r="J32" s="11"/>
      <x:c r="K32" s="11"/>
    </x:row>
    <x:row r="33">
      <x:c r="A33" s="11"/>
      <x:c r="B33" s="11"/>
      <x:c r="C33" s="11"/>
      <x:c r="D33" s="11"/>
      <x:c r="E33" s="11"/>
      <x:c r="F33" s="11"/>
      <x:c r="G33" s="11"/>
      <x:c r="H33" s="11"/>
      <x:c r="I33" s="11"/>
      <x:c r="J33" s="11"/>
      <x:c r="K33" s="11"/>
    </x:row>
    <x:row r="34">
      <x:c r="A34" s="11"/>
      <x:c r="B34" s="11"/>
      <x:c r="C34" s="11"/>
      <x:c r="D34" s="11"/>
      <x:c r="E34" s="11"/>
      <x:c r="F34" s="11"/>
      <x:c r="G34" s="11"/>
      <x:c r="H34" s="11"/>
      <x:c r="I34" s="11"/>
      <x:c r="J34" s="11"/>
      <x:c r="K34" s="11"/>
    </x:row>
    <x:row r="35">
      <x:c r="A35" s="11"/>
      <x:c r="B35" s="11"/>
      <x:c r="C35" s="11"/>
      <x:c r="D35" s="11"/>
      <x:c r="E35" s="11"/>
      <x:c r="F35" s="11"/>
      <x:c r="G35" s="11"/>
      <x:c r="H35" s="11"/>
      <x:c r="I35" s="11"/>
      <x:c r="J35" s="11"/>
      <x:c r="K35" s="11"/>
    </x:row>
    <x:row r="36">
      <x:c r="A36" s="11"/>
      <x:c r="B36" s="11"/>
      <x:c r="C36" s="11"/>
      <x:c r="D36" s="11"/>
      <x:c r="E36" s="11"/>
      <x:c r="F36" s="11"/>
      <x:c r="G36" s="11"/>
      <x:c r="H36" s="11"/>
      <x:c r="I36" s="11"/>
      <x:c r="J36" s="11"/>
      <x:c r="K36" s="11"/>
    </x:row>
    <x:row r="37">
      <x:c r="A37" s="11"/>
      <x:c r="B37" s="11"/>
      <x:c r="C37" s="11"/>
      <x:c r="D37" s="11"/>
      <x:c r="E37" s="11"/>
      <x:c r="F37" s="11"/>
      <x:c r="G37" s="11"/>
      <x:c r="H37" s="11"/>
      <x:c r="I37" s="11"/>
      <x:c r="J37" s="11"/>
      <x:c r="K37" s="11"/>
    </x:row>
    <x:row r="38">
      <x:c r="A38" s="11"/>
      <x:c r="B38" s="11"/>
      <x:c r="C38" s="11"/>
      <x:c r="D38" s="11"/>
      <x:c r="E38" s="11"/>
      <x:c r="F38" s="11"/>
      <x:c r="G38" s="11"/>
      <x:c r="H38" s="11"/>
      <x:c r="I38" s="11"/>
      <x:c r="J38" s="11"/>
      <x:c r="K38" s="11"/>
    </x:row>
    <x:row r="39">
      <x:c r="A39" s="11"/>
      <x:c r="B39" s="11"/>
      <x:c r="C39" s="11"/>
      <x:c r="D39" s="11"/>
      <x:c r="E39" s="11"/>
      <x:c r="F39" s="11"/>
      <x:c r="G39" s="11"/>
      <x:c r="H39" s="11"/>
      <x:c r="I39" s="11"/>
      <x:c r="J39" s="11"/>
      <x:c r="K39" s="11"/>
    </x:row>
    <x:row r="40">
      <x:c r="A40" s="11"/>
      <x:c r="B40" s="11"/>
      <x:c r="C40" s="11"/>
      <x:c r="D40" s="11"/>
      <x:c r="E40" s="11"/>
      <x:c r="F40" s="11"/>
      <x:c r="G40" s="11"/>
      <x:c r="H40" s="11"/>
      <x:c r="I40" s="11"/>
      <x:c r="J40" s="11"/>
      <x:c r="K40" s="11"/>
    </x:row>
    <x:row r="41">
      <x:c r="A41" s="11"/>
      <x:c r="B41" s="11"/>
      <x:c r="C41" s="11"/>
      <x:c r="D41" s="11"/>
      <x:c r="E41" s="11"/>
      <x:c r="F41" s="11"/>
      <x:c r="G41" s="11"/>
      <x:c r="H41" s="11"/>
      <x:c r="I41" s="11"/>
      <x:c r="J41" s="11"/>
      <x:c r="K41" s="11"/>
    </x:row>
    <x:row r="42">
      <x:c r="A42" s="11"/>
      <x:c r="B42" s="11"/>
      <x:c r="C42" s="11"/>
      <x:c r="D42" s="11"/>
      <x:c r="E42" s="11"/>
      <x:c r="F42" s="11"/>
      <x:c r="G42" s="11"/>
      <x:c r="H42" s="11"/>
      <x:c r="I42" s="11"/>
      <x:c r="J42" s="11"/>
      <x:c r="K42" s="11"/>
    </x:row>
    <x:row r="43">
      <x:c r="A43" s="11"/>
      <x:c r="B43" s="11"/>
      <x:c r="C43" s="11"/>
      <x:c r="D43" s="11"/>
      <x:c r="E43" s="11"/>
      <x:c r="F43" s="11"/>
      <x:c r="G43" s="11"/>
      <x:c r="H43" s="11"/>
      <x:c r="I43" s="11"/>
      <x:c r="J43" s="11"/>
      <x:c r="K43" s="11"/>
    </x:row>
    <x:row r="44">
      <x:c r="A44" s="11"/>
      <x:c r="B44" s="11"/>
      <x:c r="C44" s="11"/>
      <x:c r="D44" s="11"/>
      <x:c r="E44" s="11"/>
      <x:c r="F44" s="11"/>
      <x:c r="G44" s="11"/>
      <x:c r="H44" s="11"/>
      <x:c r="I44" s="11"/>
      <x:c r="J44" s="11"/>
      <x:c r="K44" s="11"/>
    </x:row>
    <x:row r="45">
      <x:c r="A45" s="11"/>
      <x:c r="B45" s="11"/>
      <x:c r="C45" s="11"/>
      <x:c r="D45" s="11"/>
      <x:c r="E45" s="11"/>
      <x:c r="F45" s="11"/>
      <x:c r="G45" s="11"/>
      <x:c r="H45" s="11"/>
      <x:c r="I45" s="11"/>
      <x:c r="J45" s="11"/>
      <x:c r="K45" s="11"/>
    </x:row>
    <x:row r="46">
      <x:c r="A46" s="11"/>
      <x:c r="B46" s="11"/>
      <x:c r="C46" s="11"/>
      <x:c r="D46" s="11"/>
      <x:c r="E46" s="11"/>
      <x:c r="F46" s="11"/>
      <x:c r="G46" s="11"/>
      <x:c r="H46" s="11"/>
      <x:c r="I46" s="11"/>
      <x:c r="J46" s="11"/>
      <x:c r="K46" s="11"/>
    </x:row>
    <x:row r="47">
      <x:c r="A47" s="11"/>
      <x:c r="B47" s="11"/>
      <x:c r="C47" s="11"/>
      <x:c r="D47" s="11"/>
      <x:c r="E47" s="11"/>
      <x:c r="F47" s="11"/>
      <x:c r="G47" s="11"/>
      <x:c r="H47" s="11"/>
      <x:c r="I47" s="11"/>
      <x:c r="J47" s="11"/>
      <x:c r="K47" s="11"/>
    </x:row>
    <x:row r="48">
      <x:c r="A48" s="11"/>
      <x:c r="B48" s="11"/>
      <x:c r="C48" s="11"/>
      <x:c r="D48" s="11"/>
      <x:c r="E48" s="11"/>
      <x:c r="F48" s="11"/>
      <x:c r="G48" s="11"/>
      <x:c r="H48" s="11"/>
      <x:c r="I48" s="11"/>
      <x:c r="J48" s="11"/>
      <x:c r="K48" s="11"/>
    </x:row>
    <x:row r="49">
      <x:c r="A49" s="11"/>
      <x:c r="B49" s="11"/>
      <x:c r="C49" s="11"/>
      <x:c r="D49" s="11"/>
      <x:c r="E49" s="11"/>
      <x:c r="F49" s="11"/>
      <x:c r="G49" s="11"/>
      <x:c r="H49" s="11"/>
      <x:c r="I49" s="11"/>
      <x:c r="J49" s="11"/>
      <x:c r="K49" s="11"/>
    </x:row>
    <x:row r="50">
      <x:c r="A50" s="11"/>
      <x:c r="B50" s="11"/>
      <x:c r="C50" s="11"/>
      <x:c r="D50" s="11"/>
      <x:c r="E50" s="11"/>
      <x:c r="F50" s="11"/>
      <x:c r="G50" s="11"/>
      <x:c r="H50" s="11"/>
      <x:c r="I50" s="11"/>
      <x:c r="J50" s="11"/>
      <x:c r="K50" s="11"/>
    </x:row>
    <x:row r="51">
      <x:c r="A51" s="11"/>
      <x:c r="B51" s="11"/>
      <x:c r="C51" s="11"/>
      <x:c r="D51" s="11"/>
      <x:c r="E51" s="11"/>
      <x:c r="F51" s="11"/>
      <x:c r="G51" s="11"/>
      <x:c r="H51" s="11"/>
      <x:c r="I51" s="11"/>
      <x:c r="J51" s="11"/>
      <x:c r="K51" s="11"/>
    </x:row>
    <x:row r="52">
      <x:c r="A52" s="11"/>
      <x:c r="B52" s="11"/>
      <x:c r="C52" s="11"/>
      <x:c r="D52" s="11"/>
      <x:c r="E52" s="11"/>
      <x:c r="F52" s="11"/>
      <x:c r="G52" s="11"/>
      <x:c r="H52" s="11"/>
      <x:c r="I52" s="11"/>
      <x:c r="J52" s="11"/>
      <x:c r="K52" s="11"/>
    </x:row>
    <x:row r="53">
      <x:c r="A53" s="11"/>
      <x:c r="B53" s="11"/>
      <x:c r="C53" s="11"/>
      <x:c r="D53" s="11"/>
      <x:c r="E53" s="11"/>
      <x:c r="F53" s="11"/>
      <x:c r="G53" s="11"/>
      <x:c r="H53" s="11"/>
      <x:c r="I53" s="11"/>
      <x:c r="J53" s="11"/>
      <x:c r="K53" s="11"/>
    </x:row>
    <x:row r="54">
      <x:c r="A54" s="11"/>
      <x:c r="B54" s="11"/>
      <x:c r="C54" s="11"/>
      <x:c r="D54" s="11"/>
      <x:c r="E54" s="11"/>
      <x:c r="F54" s="11"/>
      <x:c r="G54" s="11"/>
      <x:c r="H54" s="11"/>
      <x:c r="I54" s="11"/>
      <x:c r="J54" s="11"/>
      <x:c r="K54" s="11"/>
    </x:row>
    <x:row r="55">
      <x:c r="A55" s="11"/>
      <x:c r="B55" s="11"/>
      <x:c r="C55" s="11"/>
      <x:c r="D55" s="11"/>
      <x:c r="E55" s="11"/>
      <x:c r="F55" s="11"/>
      <x:c r="G55" s="11"/>
      <x:c r="H55" s="11"/>
      <x:c r="I55" s="11"/>
      <x:c r="J55" s="11"/>
      <x:c r="K55" s="11"/>
    </x:row>
    <x:row r="56">
      <x:c r="A56" s="11"/>
      <x:c r="B56" s="11"/>
      <x:c r="C56" s="11"/>
      <x:c r="D56" s="11"/>
      <x:c r="E56" s="11"/>
      <x:c r="F56" s="11"/>
      <x:c r="G56" s="11"/>
      <x:c r="H56" s="11"/>
      <x:c r="I56" s="11"/>
      <x:c r="J56" s="11"/>
      <x:c r="K56" s="11"/>
    </x:row>
    <x:row r="57">
      <x:c r="A57" s="11"/>
      <x:c r="B57" s="11"/>
      <x:c r="C57" s="11"/>
      <x:c r="D57" s="11"/>
      <x:c r="E57" s="11"/>
      <x:c r="F57" s="11"/>
      <x:c r="G57" s="11"/>
      <x:c r="H57" s="11"/>
      <x:c r="I57" s="11"/>
      <x:c r="J57" s="11"/>
      <x:c r="K57" s="11"/>
    </x:row>
    <x:row r="58">
      <x:c r="A58" s="11"/>
      <x:c r="B58" s="11"/>
      <x:c r="C58" s="11"/>
      <x:c r="D58" s="11"/>
      <x:c r="E58" s="11"/>
      <x:c r="F58" s="11"/>
      <x:c r="G58" s="11"/>
      <x:c r="H58" s="11"/>
      <x:c r="I58" s="11"/>
      <x:c r="J58" s="11"/>
      <x:c r="K58" s="11"/>
    </x:row>
    <x:row r="59">
      <x:c r="A59" s="11"/>
      <x:c r="B59" s="11"/>
      <x:c r="C59" s="11"/>
      <x:c r="D59" s="11"/>
      <x:c r="E59" s="11"/>
      <x:c r="F59" s="11"/>
      <x:c r="G59" s="11"/>
      <x:c r="H59" s="11"/>
      <x:c r="I59" s="11"/>
      <x:c r="J59" s="11"/>
      <x:c r="K59" s="11"/>
    </x:row>
    <x:row r="60">
      <x:c r="A60" s="11"/>
      <x:c r="B60" s="11"/>
      <x:c r="C60" s="11"/>
      <x:c r="D60" s="11"/>
      <x:c r="E60" s="11"/>
      <x:c r="F60" s="11"/>
      <x:c r="G60" s="11"/>
      <x:c r="H60" s="11"/>
      <x:c r="I60" s="11"/>
      <x:c r="J60" s="11"/>
      <x:c r="K60" s="11"/>
    </x:row>
    <x:row r="61">
      <x:c r="A61" s="11"/>
      <x:c r="B61" s="11"/>
      <x:c r="C61" s="11"/>
      <x:c r="D61" s="11"/>
      <x:c r="E61" s="11"/>
      <x:c r="F61" s="11"/>
      <x:c r="G61" s="11"/>
      <x:c r="H61" s="11"/>
      <x:c r="I61" s="11"/>
      <x:c r="J61" s="11"/>
      <x:c r="K61" s="11"/>
    </x:row>
    <x:row r="62">
      <x:c r="A62" s="11"/>
      <x:c r="B62" s="11"/>
      <x:c r="C62" s="11"/>
      <x:c r="D62" s="11"/>
      <x:c r="E62" s="11"/>
      <x:c r="F62" s="11"/>
      <x:c r="G62" s="11"/>
      <x:c r="H62" s="11"/>
      <x:c r="I62" s="11"/>
      <x:c r="J62" s="11"/>
      <x:c r="K62" s="11"/>
    </x:row>
    <x:row r="63">
      <x:c r="A63" s="11"/>
      <x:c r="B63" s="11"/>
      <x:c r="C63" s="11"/>
      <x:c r="D63" s="11"/>
      <x:c r="E63" s="11"/>
      <x:c r="F63" s="11"/>
      <x:c r="G63" s="11"/>
      <x:c r="H63" s="11"/>
      <x:c r="I63" s="11"/>
      <x:c r="J63" s="11"/>
      <x:c r="K63" s="11"/>
    </x:row>
    <x:row r="64">
      <x:c r="A64" s="11"/>
      <x:c r="B64" s="11"/>
      <x:c r="C64" s="11"/>
      <x:c r="D64" s="11"/>
      <x:c r="E64" s="11"/>
      <x:c r="F64" s="11"/>
      <x:c r="G64" s="11"/>
      <x:c r="H64" s="11"/>
      <x:c r="I64" s="11"/>
      <x:c r="J64" s="11"/>
      <x:c r="K64" s="11"/>
    </x:row>
    <x:row r="65">
      <x:c r="A65" s="11"/>
      <x:c r="B65" s="11"/>
      <x:c r="C65" s="11"/>
      <x:c r="D65" s="11"/>
      <x:c r="E65" s="11"/>
      <x:c r="F65" s="11"/>
      <x:c r="G65" s="11"/>
      <x:c r="H65" s="11"/>
      <x:c r="I65" s="11"/>
      <x:c r="J65" s="11"/>
      <x:c r="K65" s="11"/>
    </x:row>
    <x:row r="66">
      <x:c r="A66" s="11"/>
      <x:c r="B66" s="11"/>
      <x:c r="C66" s="11"/>
      <x:c r="D66" s="11"/>
      <x:c r="E66" s="11"/>
      <x:c r="F66" s="11"/>
      <x:c r="G66" s="11"/>
      <x:c r="H66" s="11"/>
      <x:c r="I66" s="11"/>
      <x:c r="J66" s="11"/>
      <x:c r="K66" s="11"/>
    </x:row>
    <x:row r="67">
      <x:c r="A67" s="11"/>
      <x:c r="B67" s="11"/>
      <x:c r="C67" s="11"/>
      <x:c r="D67" s="11"/>
      <x:c r="E67" s="11"/>
      <x:c r="F67" s="11"/>
      <x:c r="G67" s="11"/>
      <x:c r="H67" s="11"/>
      <x:c r="I67" s="11"/>
      <x:c r="J67" s="11"/>
      <x:c r="K67" s="11"/>
    </x:row>
    <x:row r="68">
      <x:c r="A68" s="11"/>
      <x:c r="B68" s="11"/>
      <x:c r="C68" s="11"/>
      <x:c r="D68" s="11"/>
      <x:c r="E68" s="11"/>
      <x:c r="F68" s="11"/>
      <x:c r="G68" s="11"/>
      <x:c r="H68" s="11"/>
      <x:c r="I68" s="11"/>
      <x:c r="J68" s="11"/>
      <x:c r="K68" s="11"/>
    </x:row>
    <x:row r="69">
      <x:c r="A69" s="11"/>
      <x:c r="B69" s="11"/>
      <x:c r="C69" s="11"/>
      <x:c r="D69" s="11"/>
      <x:c r="E69" s="11"/>
      <x:c r="F69" s="11"/>
      <x:c r="G69" s="11"/>
      <x:c r="H69" s="11"/>
      <x:c r="I69" s="11"/>
      <x:c r="J69" s="11"/>
      <x:c r="K69" s="11"/>
    </x:row>
    <x:row r="70">
      <x:c r="A70" s="11"/>
      <x:c r="B70" s="11"/>
      <x:c r="C70" s="11"/>
      <x:c r="D70" s="11"/>
      <x:c r="E70" s="11"/>
      <x:c r="F70" s="11"/>
      <x:c r="G70" s="11"/>
      <x:c r="H70" s="11"/>
      <x:c r="I70" s="11"/>
      <x:c r="J70" s="11"/>
      <x:c r="K70" s="11"/>
    </x:row>
    <x:row r="71">
      <x:c r="A71" s="11"/>
      <x:c r="B71" s="11"/>
      <x:c r="C71" s="11"/>
      <x:c r="D71" s="11"/>
      <x:c r="E71" s="11"/>
      <x:c r="F71" s="11"/>
      <x:c r="G71" s="11"/>
      <x:c r="H71" s="11"/>
      <x:c r="I71" s="11"/>
      <x:c r="J71" s="11"/>
      <x:c r="K71" s="11"/>
    </x:row>
    <x:row r="72">
      <x:c r="A72" s="11"/>
      <x:c r="B72" s="11"/>
      <x:c r="C72" s="11"/>
      <x:c r="D72" s="11"/>
      <x:c r="E72" s="11"/>
      <x:c r="F72" s="11"/>
      <x:c r="G72" s="11"/>
      <x:c r="H72" s="11"/>
      <x:c r="I72" s="11"/>
      <x:c r="J72" s="11"/>
      <x:c r="K72" s="11"/>
    </x:row>
    <x:row r="73">
      <x:c r="A73" s="11"/>
      <x:c r="B73" s="11"/>
      <x:c r="C73" s="11"/>
      <x:c r="D73" s="11"/>
      <x:c r="E73" s="11"/>
      <x:c r="F73" s="11"/>
      <x:c r="G73" s="11"/>
      <x:c r="H73" s="11"/>
      <x:c r="I73" s="11"/>
      <x:c r="J73" s="11"/>
      <x:c r="K73" s="11"/>
    </x:row>
    <x:row r="74">
      <x:c r="A74" s="11"/>
      <x:c r="B74" s="11"/>
      <x:c r="C74" s="11"/>
      <x:c r="D74" s="11"/>
      <x:c r="E74" s="11"/>
      <x:c r="F74" s="11"/>
      <x:c r="G74" s="11"/>
      <x:c r="H74" s="11"/>
      <x:c r="I74" s="11"/>
      <x:c r="J74" s="11"/>
      <x:c r="K74" s="11"/>
    </x:row>
    <x:row r="75">
      <x:c r="A75" s="11"/>
      <x:c r="B75" s="11"/>
      <x:c r="C75" s="11"/>
      <x:c r="D75" s="11"/>
      <x:c r="E75" s="11"/>
      <x:c r="F75" s="11"/>
      <x:c r="G75" s="11"/>
      <x:c r="H75" s="11"/>
      <x:c r="I75" s="11"/>
      <x:c r="J75" s="11"/>
      <x:c r="K75" s="11"/>
    </x:row>
    <x:row r="76">
      <x:c r="A76" s="11"/>
      <x:c r="B76" s="11"/>
      <x:c r="C76" s="11"/>
      <x:c r="D76" s="11"/>
      <x:c r="E76" s="11"/>
      <x:c r="F76" s="11"/>
      <x:c r="G76" s="11"/>
      <x:c r="H76" s="11"/>
      <x:c r="I76" s="11"/>
      <x:c r="J76" s="11"/>
      <x:c r="K76" s="11"/>
    </x:row>
    <x:row r="77">
      <x:c r="A77" s="11"/>
      <x:c r="B77" s="11"/>
      <x:c r="C77" s="11"/>
      <x:c r="D77" s="11"/>
      <x:c r="E77" s="11"/>
      <x:c r="F77" s="11"/>
      <x:c r="G77" s="11"/>
      <x:c r="H77" s="11"/>
      <x:c r="I77" s="11"/>
      <x:c r="J77" s="11"/>
      <x:c r="K77" s="11"/>
    </x:row>
    <x:row r="78">
      <x:c r="A78" s="11"/>
      <x:c r="B78" s="11"/>
      <x:c r="C78" s="11"/>
      <x:c r="D78" s="11"/>
      <x:c r="E78" s="11"/>
      <x:c r="F78" s="11"/>
      <x:c r="G78" s="11"/>
      <x:c r="H78" s="11"/>
      <x:c r="I78" s="11"/>
      <x:c r="J78" s="11"/>
      <x:c r="K78" s="11"/>
    </x:row>
    <x:row r="79">
      <x:c r="A79" s="11"/>
      <x:c r="B79" s="11"/>
      <x:c r="C79" s="11"/>
      <x:c r="D79" s="11"/>
      <x:c r="E79" s="11"/>
      <x:c r="F79" s="11"/>
      <x:c r="G79" s="11"/>
      <x:c r="H79" s="11"/>
      <x:c r="I79" s="11"/>
      <x:c r="J79" s="11"/>
      <x:c r="K79" s="11"/>
    </x:row>
    <x:row r="80">
      <x:c r="A80" s="11"/>
      <x:c r="B80" s="11"/>
      <x:c r="C80" s="11"/>
      <x:c r="D80" s="11"/>
      <x:c r="E80" s="11"/>
      <x:c r="F80" s="11"/>
      <x:c r="G80" s="11"/>
      <x:c r="H80" s="11"/>
      <x:c r="I80" s="11"/>
      <x:c r="J80" s="11"/>
      <x:c r="K80" s="11"/>
    </x:row>
  </x:sheetData>
  <x:pageMargins left="0.7" right="0.7" top="0.75" bottom="0.75" header="0.3" footer="0.3"/>
  <x:tableParts count="1">
    <x:tablePart xmlns:r="http://schemas.openxmlformats.org/officeDocument/2006/relationships" r:id="Rc887c01aaf954114"/>
  </x:tableParts>
</x:worksheet>
</file>

<file path=xl/worksheets/sheet7.xml><?xml version="1.0" encoding="utf-8"?>
<x:worksheet xmlns:x="http://schemas.openxmlformats.org/spreadsheetml/2006/main">
  <x:sheetFormatPr defaultRowHeight="15"/>
  <x:cols>
    <x:col min="1" max="1" width="8" hidden="0" customWidth="1"/>
    <x:col min="2" max="2" width="60" hidden="0" customWidth="1"/>
    <x:col min="3" max="3" width="18" hidden="0" customWidth="1"/>
    <x:col min="4" max="4" width="36" hidden="0" customWidth="1"/>
    <x:col min="5" max="5" width="48" hidden="0" customWidth="1"/>
  </x:cols>
  <x:sheetData>
    <x:row r="1">
      <x:c r="A1" s="10" t="str">
        <x:v>Step</x:v>
      </x:c>
      <x:c r="B1" s="10" t="str">
        <x:v>Action</x:v>
      </x:c>
      <x:c r="C1" s="10" t="str">
        <x:v>Tool</x:v>
      </x:c>
      <x:c r="D1" s="10" t="str">
        <x:v>Output</x:v>
      </x:c>
      <x:c r="E1" s="10" t="str">
        <x:v>Stop / Escalation Rule</x:v>
      </x:c>
    </x:row>
    <x:row r="2">
      <x:c r="A2" s="11" t="str">
        <x:v>1</x:v>
      </x:c>
      <x:c r="B2" s="11" t="str">
        <x:v>Filter Registry to next source row. Use High priority GREEN first.</x:v>
      </x:c>
      <x:c r="C2" s="11" t="str">
        <x:v>Excel Registry</x:v>
      </x:c>
      <x:c r="D2" s="11" t="str">
        <x:v>Selected PDF row</x:v>
      </x:c>
      <x:c r="E2" s="11" t="str">
        <x:v>If RED, wait for Diego.</x:v>
      </x:c>
    </x:row>
    <x:row r="3">
      <x:c r="A3" s="11" t="str">
        <x:v>2</x:v>
      </x:c>
      <x:c r="B3" s="11" t="str">
        <x:v>Load PDF into the assigned NotebookLM notebook.</x:v>
      </x:c>
      <x:c r="C3" s="11" t="str">
        <x:v>NotebookLM</x:v>
      </x:c>
      <x:c r="D3" s="11" t="str">
        <x:v>Notebook contains source</x:v>
      </x:c>
      <x:c r="E3" s="11" t="str">
        <x:v>If NotebookLM cannot read the PDF, mark RED.</x:v>
      </x:c>
    </x:row>
    <x:row r="4">
      <x:c r="A4" s="11" t="str">
        <x:v>3</x:v>
      </x:c>
      <x:c r="B4" s="11" t="str">
        <x:v>Run P00 universal extraction, then cluster-specific prompt IDs from Registry.</x:v>
      </x:c>
      <x:c r="C4" s="11" t="str">
        <x:v>NotebookLM</x:v>
      </x:c>
      <x:c r="D4" s="11" t="str">
        <x:v>Raw extraction output</x:v>
      </x:c>
      <x:c r="E4" s="11" t="str">
        <x:v>If output cites no source-specific content, rerun once, then mark RED.</x:v>
      </x:c>
    </x:row>
    <x:row r="5">
      <x:c r="A5" s="11" t="str">
        <x:v>4</x:v>
      </x:c>
      <x:c r="B5" s="11" t="str">
        <x:v>Paste NotebookLM output into P08 ChatGPT normalization prompt.</x:v>
      </x:c>
      <x:c r="C5" s="11" t="str">
        <x:v>ChatGPT</x:v>
      </x:c>
      <x:c r="D5" s="11" t="str">
        <x:v>Obsidian-ready markdown note</x:v>
      </x:c>
      <x:c r="E5" s="11" t="str">
        <x:v>Do not add missing claims. Keep uncertainty.</x:v>
      </x:c>
    </x:row>
    <x:row r="6">
      <x:c r="A6" s="11" t="str">
        <x:v>5</x:v>
      </x:c>
      <x:c r="B6" s="11" t="str">
        <x:v>Create or update the Obsidian note named in output_obsidian_note.</x:v>
      </x:c>
      <x:c r="C6" s="11" t="str">
        <x:v>Obsidian</x:v>
      </x:c>
      <x:c r="D6" s="11" t="str">
        <x:v>Source note saved</x:v>
      </x:c>
      <x:c r="E6" s="11" t="str">
        <x:v>If filename/path is unclear, mark YELLOW.</x:v>
      </x:c>
    </x:row>
    <x:row r="7">
      <x:c r="A7" s="11" t="str">
        <x:v>6</x:v>
      </x:c>
      <x:c r="B7" s="11" t="str">
        <x:v>Update RA_status and checkbox columns in Registry.</x:v>
      </x:c>
      <x:c r="C7" s="11" t="str">
        <x:v>Excel Registry</x:v>
      </x:c>
      <x:c r="D7" s="11" t="str">
        <x:v>Row updated</x:v>
      </x:c>
      <x:c r="E7" s="11" t="str">
        <x:v>Never mark Diego Reviewed yourself.</x:v>
      </x:c>
    </x:row>
    <x:row r="8">
      <x:c r="A8" s="11" t="str">
        <x:v>7</x:v>
      </x:c>
      <x:c r="B8" s="11" t="str">
        <x:v>At 30 minutes, run P09 checkpoint packet.</x:v>
      </x:c>
      <x:c r="C8" s="11" t="str">
        <x:v>ChatGPT/Obsidian</x:v>
      </x:c>
      <x:c r="D8" s="11" t="str">
        <x:v>Checkpoint summary</x:v>
      </x:c>
      <x:c r="E8" s="11" t="str">
        <x:v>Bring YELLOW/RED cases to Diego.</x:v>
      </x:c>
    </x:row>
    <x:row r="9">
      <x:c r="A9" s="11"/>
      <x:c r="B9" s="11"/>
      <x:c r="C9" s="11"/>
      <x:c r="D9" s="11"/>
      <x:c r="E9" s="11"/>
    </x:row>
    <x:row r="10">
      <x:c r="A10" s="11"/>
      <x:c r="B10" s="11"/>
      <x:c r="C10" s="11"/>
      <x:c r="D10" s="11"/>
      <x:c r="E10" s="11"/>
    </x:row>
    <x:row r="11">
      <x:c r="A11" s="11"/>
      <x:c r="B11" s="11"/>
      <x:c r="C11" s="11"/>
      <x:c r="D11" s="11"/>
      <x:c r="E11" s="11"/>
    </x:row>
    <x:row r="12">
      <x:c r="A12" s="11"/>
      <x:c r="B12" s="11"/>
      <x:c r="C12" s="11"/>
      <x:c r="D12" s="11"/>
      <x:c r="E12" s="11"/>
    </x:row>
    <x:row r="13">
      <x:c r="A13" s="11"/>
      <x:c r="B13" s="11"/>
      <x:c r="C13" s="11"/>
      <x:c r="D13" s="11"/>
      <x:c r="E13" s="11"/>
    </x:row>
    <x:row r="14">
      <x:c r="A14" s="11"/>
      <x:c r="B14" s="11"/>
      <x:c r="C14" s="11"/>
      <x:c r="D14" s="11"/>
      <x:c r="E14" s="11"/>
    </x:row>
    <x:row r="15">
      <x:c r="A15" s="11"/>
      <x:c r="B15" s="11"/>
      <x:c r="C15" s="11"/>
      <x:c r="D15" s="11"/>
      <x:c r="E15" s="11"/>
    </x:row>
    <x:row r="16">
      <x:c r="A16" s="11"/>
      <x:c r="B16" s="11"/>
      <x:c r="C16" s="11"/>
      <x:c r="D16" s="11"/>
      <x:c r="E16" s="11"/>
    </x:row>
    <x:row r="17">
      <x:c r="A17" s="11"/>
      <x:c r="B17" s="11"/>
      <x:c r="C17" s="11"/>
      <x:c r="D17" s="11"/>
      <x:c r="E17" s="11"/>
    </x:row>
    <x:row r="18">
      <x:c r="A18" s="11"/>
      <x:c r="B18" s="11"/>
      <x:c r="C18" s="11"/>
      <x:c r="D18" s="11"/>
      <x:c r="E18" s="11"/>
    </x:row>
    <x:row r="19">
      <x:c r="A19" s="11"/>
      <x:c r="B19" s="11"/>
      <x:c r="C19" s="11"/>
      <x:c r="D19" s="11"/>
      <x:c r="E19" s="11"/>
    </x:row>
    <x:row r="20">
      <x:c r="A20" s="11"/>
      <x:c r="B20" s="11"/>
      <x:c r="C20" s="11"/>
      <x:c r="D20" s="11"/>
      <x:c r="E20" s="11"/>
    </x:row>
    <x:row r="21">
      <x:c r="A21" s="11"/>
      <x:c r="B21" s="11"/>
      <x:c r="C21" s="11"/>
      <x:c r="D21" s="11"/>
      <x:c r="E21" s="11"/>
    </x:row>
    <x:row r="22">
      <x:c r="A22" s="11"/>
      <x:c r="B22" s="11"/>
      <x:c r="C22" s="11"/>
      <x:c r="D22" s="11"/>
      <x:c r="E22" s="11"/>
    </x:row>
    <x:row r="23">
      <x:c r="A23" s="11"/>
      <x:c r="B23" s="11"/>
      <x:c r="C23" s="11"/>
      <x:c r="D23" s="11"/>
      <x:c r="E23" s="11"/>
    </x:row>
    <x:row r="24">
      <x:c r="A24" s="11"/>
      <x:c r="B24" s="11"/>
      <x:c r="C24" s="11"/>
      <x:c r="D24" s="11"/>
      <x:c r="E24" s="11"/>
    </x:row>
    <x:row r="25">
      <x:c r="A25" s="11"/>
      <x:c r="B25" s="11"/>
      <x:c r="C25" s="11"/>
      <x:c r="D25" s="11"/>
      <x:c r="E25" s="11"/>
    </x:row>
    <x:row r="26">
      <x:c r="A26" s="11"/>
      <x:c r="B26" s="11"/>
      <x:c r="C26" s="11"/>
      <x:c r="D26" s="11"/>
      <x:c r="E26" s="11"/>
    </x:row>
    <x:row r="27">
      <x:c r="A27" s="11"/>
      <x:c r="B27" s="11"/>
      <x:c r="C27" s="11"/>
      <x:c r="D27" s="11"/>
      <x:c r="E27" s="11"/>
    </x:row>
    <x:row r="28">
      <x:c r="A28" s="11"/>
      <x:c r="B28" s="11"/>
      <x:c r="C28" s="11"/>
      <x:c r="D28" s="11"/>
      <x:c r="E28" s="11"/>
    </x:row>
    <x:row r="29">
      <x:c r="A29" s="11"/>
      <x:c r="B29" s="11"/>
      <x:c r="C29" s="11"/>
      <x:c r="D29" s="11"/>
      <x:c r="E29" s="11"/>
    </x:row>
    <x:row r="30">
      <x:c r="A30" s="11"/>
      <x:c r="B30" s="11"/>
      <x:c r="C30" s="11"/>
      <x:c r="D30" s="11"/>
      <x:c r="E30" s="11"/>
    </x:row>
    <x:row r="31">
      <x:c r="A31" s="11"/>
      <x:c r="B31" s="11"/>
      <x:c r="C31" s="11"/>
      <x:c r="D31" s="11"/>
      <x:c r="E31" s="11"/>
    </x:row>
    <x:row r="32">
      <x:c r="A32" s="11"/>
      <x:c r="B32" s="11"/>
      <x:c r="C32" s="11"/>
      <x:c r="D32" s="11"/>
      <x:c r="E32" s="11"/>
    </x:row>
    <x:row r="33">
      <x:c r="A33" s="11"/>
      <x:c r="B33" s="11"/>
      <x:c r="C33" s="11"/>
      <x:c r="D33" s="11"/>
      <x:c r="E33" s="11"/>
    </x:row>
    <x:row r="34">
      <x:c r="A34" s="11"/>
      <x:c r="B34" s="11"/>
      <x:c r="C34" s="11"/>
      <x:c r="D34" s="11"/>
      <x:c r="E34" s="11"/>
    </x:row>
    <x:row r="35">
      <x:c r="A35" s="11"/>
      <x:c r="B35" s="11"/>
      <x:c r="C35" s="11"/>
      <x:c r="D35" s="11"/>
      <x:c r="E35" s="11"/>
    </x:row>
    <x:row r="36">
      <x:c r="A36" s="11"/>
      <x:c r="B36" s="11"/>
      <x:c r="C36" s="11"/>
      <x:c r="D36" s="11"/>
      <x:c r="E36" s="11"/>
    </x:row>
    <x:row r="37">
      <x:c r="A37" s="11"/>
      <x:c r="B37" s="11"/>
      <x:c r="C37" s="11"/>
      <x:c r="D37" s="11"/>
      <x:c r="E37" s="11"/>
    </x:row>
    <x:row r="38">
      <x:c r="A38" s="11"/>
      <x:c r="B38" s="11"/>
      <x:c r="C38" s="11"/>
      <x:c r="D38" s="11"/>
      <x:c r="E38" s="11"/>
    </x:row>
    <x:row r="39">
      <x:c r="A39" s="11"/>
      <x:c r="B39" s="11"/>
      <x:c r="C39" s="11"/>
      <x:c r="D39" s="11"/>
      <x:c r="E39" s="11"/>
    </x:row>
    <x:row r="40">
      <x:c r="A40" s="11"/>
      <x:c r="B40" s="11"/>
      <x:c r="C40" s="11"/>
      <x:c r="D40" s="11"/>
      <x:c r="E40" s="11"/>
    </x:row>
    <x:row r="41">
      <x:c r="A41" s="11"/>
      <x:c r="B41" s="11"/>
      <x:c r="C41" s="11"/>
      <x:c r="D41" s="11"/>
      <x:c r="E41" s="11"/>
    </x:row>
    <x:row r="42">
      <x:c r="A42" s="11"/>
      <x:c r="B42" s="11"/>
      <x:c r="C42" s="11"/>
      <x:c r="D42" s="11"/>
      <x:c r="E42" s="11"/>
    </x:row>
    <x:row r="43">
      <x:c r="A43" s="11"/>
      <x:c r="B43" s="11"/>
      <x:c r="C43" s="11"/>
      <x:c r="D43" s="11"/>
      <x:c r="E43" s="11"/>
    </x:row>
    <x:row r="44">
      <x:c r="A44" s="11"/>
      <x:c r="B44" s="11"/>
      <x:c r="C44" s="11"/>
      <x:c r="D44" s="11"/>
      <x:c r="E44" s="11"/>
    </x:row>
    <x:row r="45">
      <x:c r="A45" s="11"/>
      <x:c r="B45" s="11"/>
      <x:c r="C45" s="11"/>
      <x:c r="D45" s="11"/>
      <x:c r="E45" s="11"/>
    </x:row>
    <x:row r="46">
      <x:c r="A46" s="11"/>
      <x:c r="B46" s="11"/>
      <x:c r="C46" s="11"/>
      <x:c r="D46" s="11"/>
      <x:c r="E46" s="11"/>
    </x:row>
    <x:row r="47">
      <x:c r="A47" s="11"/>
      <x:c r="B47" s="11"/>
      <x:c r="C47" s="11"/>
      <x:c r="D47" s="11"/>
      <x:c r="E47" s="11"/>
    </x:row>
    <x:row r="48">
      <x:c r="A48" s="11"/>
      <x:c r="B48" s="11"/>
      <x:c r="C48" s="11"/>
      <x:c r="D48" s="11"/>
      <x:c r="E48" s="11"/>
    </x:row>
    <x:row r="49">
      <x:c r="A49" s="11"/>
      <x:c r="B49" s="11"/>
      <x:c r="C49" s="11"/>
      <x:c r="D49" s="11"/>
      <x:c r="E49" s="11"/>
    </x:row>
    <x:row r="50">
      <x:c r="A50" s="11"/>
      <x:c r="B50" s="11"/>
      <x:c r="C50" s="11"/>
      <x:c r="D50" s="11"/>
      <x:c r="E50" s="11"/>
    </x:row>
    <x:row r="51">
      <x:c r="A51" s="11"/>
      <x:c r="B51" s="11"/>
      <x:c r="C51" s="11"/>
      <x:c r="D51" s="11"/>
      <x:c r="E51" s="11"/>
    </x:row>
    <x:row r="52">
      <x:c r="A52" s="11"/>
      <x:c r="B52" s="11"/>
      <x:c r="C52" s="11"/>
      <x:c r="D52" s="11"/>
      <x:c r="E52" s="11"/>
    </x:row>
    <x:row r="53">
      <x:c r="A53" s="11"/>
      <x:c r="B53" s="11"/>
      <x:c r="C53" s="11"/>
      <x:c r="D53" s="11"/>
      <x:c r="E53" s="11"/>
    </x:row>
    <x:row r="54">
      <x:c r="A54" s="11"/>
      <x:c r="B54" s="11"/>
      <x:c r="C54" s="11"/>
      <x:c r="D54" s="11"/>
      <x:c r="E54" s="11"/>
    </x:row>
    <x:row r="55">
      <x:c r="A55" s="11"/>
      <x:c r="B55" s="11"/>
      <x:c r="C55" s="11"/>
      <x:c r="D55" s="11"/>
      <x:c r="E55" s="11"/>
    </x:row>
    <x:row r="56">
      <x:c r="A56" s="11"/>
      <x:c r="B56" s="11"/>
      <x:c r="C56" s="11"/>
      <x:c r="D56" s="11"/>
      <x:c r="E56" s="11"/>
    </x:row>
    <x:row r="57">
      <x:c r="A57" s="11"/>
      <x:c r="B57" s="11"/>
      <x:c r="C57" s="11"/>
      <x:c r="D57" s="11"/>
      <x:c r="E57" s="11"/>
    </x:row>
    <x:row r="58">
      <x:c r="A58" s="11"/>
      <x:c r="B58" s="11"/>
      <x:c r="C58" s="11"/>
      <x:c r="D58" s="11"/>
      <x:c r="E58" s="11"/>
    </x:row>
    <x:row r="59">
      <x:c r="A59" s="11"/>
      <x:c r="B59" s="11"/>
      <x:c r="C59" s="11"/>
      <x:c r="D59" s="11"/>
      <x:c r="E59" s="11"/>
    </x:row>
    <x:row r="60">
      <x:c r="A60" s="11"/>
      <x:c r="B60" s="11"/>
      <x:c r="C60" s="11"/>
      <x:c r="D60" s="11"/>
      <x:c r="E60" s="11"/>
    </x:row>
    <x:row r="61">
      <x:c r="A61" s="11"/>
      <x:c r="B61" s="11"/>
      <x:c r="C61" s="11"/>
      <x:c r="D61" s="11"/>
      <x:c r="E61" s="11"/>
    </x:row>
    <x:row r="62">
      <x:c r="A62" s="11"/>
      <x:c r="B62" s="11"/>
      <x:c r="C62" s="11"/>
      <x:c r="D62" s="11"/>
      <x:c r="E62" s="11"/>
    </x:row>
    <x:row r="63">
      <x:c r="A63" s="11"/>
      <x:c r="B63" s="11"/>
      <x:c r="C63" s="11"/>
      <x:c r="D63" s="11"/>
      <x:c r="E63" s="11"/>
    </x:row>
    <x:row r="64">
      <x:c r="A64" s="11"/>
      <x:c r="B64" s="11"/>
      <x:c r="C64" s="11"/>
      <x:c r="D64" s="11"/>
      <x:c r="E64" s="11"/>
    </x:row>
    <x:row r="65">
      <x:c r="A65" s="11"/>
      <x:c r="B65" s="11"/>
      <x:c r="C65" s="11"/>
      <x:c r="D65" s="11"/>
      <x:c r="E65" s="11"/>
    </x:row>
    <x:row r="66">
      <x:c r="A66" s="11"/>
      <x:c r="B66" s="11"/>
      <x:c r="C66" s="11"/>
      <x:c r="D66" s="11"/>
      <x:c r="E66" s="11"/>
    </x:row>
    <x:row r="67">
      <x:c r="A67" s="11"/>
      <x:c r="B67" s="11"/>
      <x:c r="C67" s="11"/>
      <x:c r="D67" s="11"/>
      <x:c r="E67" s="11"/>
    </x:row>
    <x:row r="68">
      <x:c r="A68" s="11"/>
      <x:c r="B68" s="11"/>
      <x:c r="C68" s="11"/>
      <x:c r="D68" s="11"/>
      <x:c r="E68" s="11"/>
    </x:row>
    <x:row r="69">
      <x:c r="A69" s="11"/>
      <x:c r="B69" s="11"/>
      <x:c r="C69" s="11"/>
      <x:c r="D69" s="11"/>
      <x:c r="E69" s="11"/>
    </x:row>
    <x:row r="70">
      <x:c r="A70" s="11"/>
      <x:c r="B70" s="11"/>
      <x:c r="C70" s="11"/>
      <x:c r="D70" s="11"/>
      <x:c r="E70" s="11"/>
    </x:row>
    <x:row r="71">
      <x:c r="A71" s="11"/>
      <x:c r="B71" s="11"/>
      <x:c r="C71" s="11"/>
      <x:c r="D71" s="11"/>
      <x:c r="E71" s="11"/>
    </x:row>
    <x:row r="72">
      <x:c r="A72" s="11"/>
      <x:c r="B72" s="11"/>
      <x:c r="C72" s="11"/>
      <x:c r="D72" s="11"/>
      <x:c r="E72" s="11"/>
    </x:row>
    <x:row r="73">
      <x:c r="A73" s="11"/>
      <x:c r="B73" s="11"/>
      <x:c r="C73" s="11"/>
      <x:c r="D73" s="11"/>
      <x:c r="E73" s="11"/>
    </x:row>
    <x:row r="74">
      <x:c r="A74" s="11"/>
      <x:c r="B74" s="11"/>
      <x:c r="C74" s="11"/>
      <x:c r="D74" s="11"/>
      <x:c r="E74" s="11"/>
    </x:row>
    <x:row r="75">
      <x:c r="A75" s="11"/>
      <x:c r="B75" s="11"/>
      <x:c r="C75" s="11"/>
      <x:c r="D75" s="11"/>
      <x:c r="E75" s="11"/>
    </x:row>
    <x:row r="76">
      <x:c r="A76" s="11"/>
      <x:c r="B76" s="11"/>
      <x:c r="C76" s="11"/>
      <x:c r="D76" s="11"/>
      <x:c r="E76" s="11"/>
    </x:row>
    <x:row r="77">
      <x:c r="A77" s="11"/>
      <x:c r="B77" s="11"/>
      <x:c r="C77" s="11"/>
      <x:c r="D77" s="11"/>
      <x:c r="E77" s="11"/>
    </x:row>
    <x:row r="78">
      <x:c r="A78" s="11"/>
      <x:c r="B78" s="11"/>
      <x:c r="C78" s="11"/>
      <x:c r="D78" s="11"/>
      <x:c r="E78" s="11"/>
    </x:row>
    <x:row r="79">
      <x:c r="A79" s="11"/>
      <x:c r="B79" s="11"/>
      <x:c r="C79" s="11"/>
      <x:c r="D79" s="11"/>
      <x:c r="E79" s="11"/>
    </x:row>
    <x:row r="80">
      <x:c r="A80" s="11"/>
      <x:c r="B80" s="11"/>
      <x:c r="C80" s="11"/>
      <x:c r="D80" s="11"/>
      <x:c r="E80" s="11"/>
    </x:row>
  </x:sheetData>
  <x:pageMargins left="0.7" right="0.7" top="0.75" bottom="0.75" header="0.3" footer="0.3"/>
  <x:tableParts count="1">
    <x:tablePart xmlns:r="http://schemas.openxmlformats.org/officeDocument/2006/relationships" r:id="R1184eb2ba9084759"/>
  </x:tableParts>
</x:worksheet>
</file>